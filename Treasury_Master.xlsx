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GENVICURE\GENVICURE - ADMIN - TECHNOLOGY\TreasuryMIS\"/>
    </mc:Choice>
  </mc:AlternateContent>
  <xr:revisionPtr revIDLastSave="0" documentId="13_ncr:1_{E4C6C75C-74F6-4847-859A-4D853723CFB1}" xr6:coauthVersionLast="47" xr6:coauthVersionMax="47" xr10:uidLastSave="{00000000-0000-0000-0000-000000000000}"/>
  <bookViews>
    <workbookView xWindow="-108" yWindow="-108" windowWidth="23256" windowHeight="14616" firstSheet="3" xr2:uid="{00000000-000D-0000-FFFF-FFFF00000000}"/>
  </bookViews>
  <sheets>
    <sheet name="Funds_Position" sheetId="1" r:id="rId1"/>
    <sheet name="Payables" sheetId="2" r:id="rId2"/>
    <sheet name="Borrowinig" sheetId="4" r:id="rId3"/>
    <sheet name="Receivabl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D4" i="1"/>
  <c r="F9" i="1"/>
  <c r="F8" i="1"/>
  <c r="F2" i="1"/>
  <c r="F7" i="1"/>
  <c r="F3" i="1"/>
  <c r="D5" i="1"/>
  <c r="D6" i="1"/>
  <c r="F4" i="1" l="1"/>
  <c r="F6" i="1"/>
  <c r="F5" i="1"/>
</calcChain>
</file>

<file path=xl/sharedStrings.xml><?xml version="1.0" encoding="utf-8"?>
<sst xmlns="http://schemas.openxmlformats.org/spreadsheetml/2006/main" count="528" uniqueCount="206">
  <si>
    <t>Name of Company</t>
  </si>
  <si>
    <t xml:space="preserve">Bank Name </t>
  </si>
  <si>
    <t>Account No.</t>
  </si>
  <si>
    <t>Balance (INR)</t>
  </si>
  <si>
    <t>Balance (USD)</t>
  </si>
  <si>
    <t>INR Equivalent</t>
  </si>
  <si>
    <t>Entity Type</t>
  </si>
  <si>
    <t>Genvicure Therapeutics Pvt.Ltd</t>
  </si>
  <si>
    <t>ICICI Bank</t>
  </si>
  <si>
    <t>Bank</t>
  </si>
  <si>
    <t>Genvicure Therapuetics LLC</t>
  </si>
  <si>
    <t>Bank of America</t>
  </si>
  <si>
    <t>381073650083</t>
  </si>
  <si>
    <t>ICICI Prudential Debt Fund (Liquid)</t>
  </si>
  <si>
    <t>39192000/28</t>
  </si>
  <si>
    <t>Mutual Fund</t>
  </si>
  <si>
    <t>39192024/53</t>
  </si>
  <si>
    <t>39193402/90</t>
  </si>
  <si>
    <t>ICICI Bank-Cumulative Plan</t>
  </si>
  <si>
    <t>FD</t>
  </si>
  <si>
    <t xml:space="preserve"> </t>
  </si>
  <si>
    <t>Tracker Serial No.</t>
  </si>
  <si>
    <t>Cost For Project</t>
  </si>
  <si>
    <t>Status Payment processed [Y/N]</t>
  </si>
  <si>
    <t>Payment Cycle</t>
  </si>
  <si>
    <t>Payer Company</t>
  </si>
  <si>
    <t>Branch</t>
  </si>
  <si>
    <t>Approved IN Vendor Management Software?</t>
  </si>
  <si>
    <t>Approval Date</t>
  </si>
  <si>
    <t>Vendor Name/ Expense Name</t>
  </si>
  <si>
    <t>Product/Service</t>
  </si>
  <si>
    <t>Whether Pass Through Bill</t>
  </si>
  <si>
    <t>Against Invoice Ref.</t>
  </si>
  <si>
    <t>Invoice Date</t>
  </si>
  <si>
    <t>Due Date</t>
  </si>
  <si>
    <t>Transaction Posting Date</t>
  </si>
  <si>
    <t>Amount Payable</t>
  </si>
  <si>
    <t>Due Date2</t>
  </si>
  <si>
    <t>Payment Status Paid/ Not paid</t>
  </si>
  <si>
    <t>Bank Account Number</t>
  </si>
  <si>
    <t>IFSC CODE</t>
  </si>
  <si>
    <t>Bank Branch</t>
  </si>
  <si>
    <t>Remarks</t>
  </si>
  <si>
    <t>Timeline_Bucket</t>
  </si>
  <si>
    <t>One Time</t>
  </si>
  <si>
    <t>GTPL</t>
  </si>
  <si>
    <t>Steril Gene Life Sciences Pvt Ltd</t>
  </si>
  <si>
    <t>Milestone Upon completion of EB Batches-Ruxo</t>
  </si>
  <si>
    <t>SGH2526/SRL00130</t>
  </si>
  <si>
    <t>0-7 days</t>
  </si>
  <si>
    <t>Auxilla Pharmaceuticals and Research LLP</t>
  </si>
  <si>
    <t xml:space="preserve">2nd Milestone-Belinostat </t>
  </si>
  <si>
    <t>AXL-386-25-26</t>
  </si>
  <si>
    <t xml:space="preserve">2nd Milestone-Isavuconazonium </t>
  </si>
  <si>
    <t>AXL-387-25-26</t>
  </si>
  <si>
    <t xml:space="preserve">2nd Milestone-Romidpesin </t>
  </si>
  <si>
    <t>AXL-388-25-26</t>
  </si>
  <si>
    <t>Prepaid Card KNA</t>
  </si>
  <si>
    <t>Prepaid Card fund transfer</t>
  </si>
  <si>
    <t> </t>
  </si>
  <si>
    <t>27-05-2026</t>
  </si>
  <si>
    <t>GTLLC</t>
  </si>
  <si>
    <t>Newchem Spa</t>
  </si>
  <si>
    <t>Material Purchased- Drospirenone</t>
  </si>
  <si>
    <t>31-05-2026</t>
  </si>
  <si>
    <t>Espee Bio Pharma</t>
  </si>
  <si>
    <t>Celestone Soluspan 30mg/5ml</t>
  </si>
  <si>
    <t>Teena Biolabs Pvt Ltd</t>
  </si>
  <si>
    <t>Method validation for Determination of Ethanol by GC Diluent for Romidepsin (Balance 50%)</t>
  </si>
  <si>
    <t>T/3968/26-27</t>
  </si>
  <si>
    <t>30-06-2026</t>
  </si>
  <si>
    <t>Kulp Labs Pvt Ltd</t>
  </si>
  <si>
    <t>Website Development and Revamp for Genvicure (Balance Payment)</t>
  </si>
  <si>
    <t>INV-2026-27/9</t>
  </si>
  <si>
    <t>Analytical Method Validation-Romidepsin (Balance 50%)</t>
  </si>
  <si>
    <t>T/5045/26-27</t>
  </si>
  <si>
    <t>28-07-2026</t>
  </si>
  <si>
    <t>MSN Laboratories Pvt Ltd</t>
  </si>
  <si>
    <t xml:space="preserve">Material Purchased- Romidepsin </t>
  </si>
  <si>
    <t>21-07-2026</t>
  </si>
  <si>
    <t xml:space="preserve">Material Purchased- Belinostat </t>
  </si>
  <si>
    <t>T/5159/26-27</t>
  </si>
  <si>
    <t>30-07-2026</t>
  </si>
  <si>
    <t>Pass Through Invoice-Drospirenone Tablet 4mg</t>
  </si>
  <si>
    <t>SGH2627/SRL00025</t>
  </si>
  <si>
    <t xml:space="preserve">Bright Interior- Rajiv Tripathi </t>
  </si>
  <si>
    <t>Supervision Charges (Balance Payment)</t>
  </si>
  <si>
    <t>2026 /005</t>
  </si>
  <si>
    <t>24-08-2026</t>
  </si>
  <si>
    <t>Viyash Scientific Limited</t>
  </si>
  <si>
    <t>Material Purchased-Flibanserin Api (24.5 KG)</t>
  </si>
  <si>
    <t>26-27VSUS-DS0151</t>
  </si>
  <si>
    <t>29-08-2026</t>
  </si>
  <si>
    <t>Espee Biopharma</t>
  </si>
  <si>
    <t xml:space="preserve">Material Purchased-Jakafi </t>
  </si>
  <si>
    <t>MSN Laboratorues Pvt Ltd</t>
  </si>
  <si>
    <t>Material Purchased-Romidepsin</t>
  </si>
  <si>
    <t>Analytical Solutions</t>
  </si>
  <si>
    <t>25% on Completion of Pivotal Study and sharing of draft report - Ruxolitinib phosphate</t>
  </si>
  <si>
    <t>NVM260800000356</t>
  </si>
  <si>
    <t>5% on Sharing of final report - Ruxolitinib phosphate</t>
  </si>
  <si>
    <t>NVM260800000357</t>
  </si>
  <si>
    <t>Jeevan Scientific Tech. Ltd.</t>
  </si>
  <si>
    <t>Pass through Charges for Insurance Premium for Pivotal study Drospi Tab 4mg</t>
  </si>
  <si>
    <t>JS26-27BABE/369</t>
  </si>
  <si>
    <t>16-09-2026</t>
  </si>
  <si>
    <t>Ortiv Q3 Research Pvt Ltd</t>
  </si>
  <si>
    <t>MS 1 -Indocyanin Green (20%)</t>
  </si>
  <si>
    <t>IN11CBA2600123</t>
  </si>
  <si>
    <t>18-09-2026</t>
  </si>
  <si>
    <t>Isavuconazole Related Substance by HPLC (Method-1)</t>
  </si>
  <si>
    <t>T/7902/26-27</t>
  </si>
  <si>
    <t>24-09-2026</t>
  </si>
  <si>
    <t>Shree Naina Glass INC</t>
  </si>
  <si>
    <t>Material Purchased-Isavuconazonium</t>
  </si>
  <si>
    <t>PO-26-27/098</t>
  </si>
  <si>
    <t>28-09-2026</t>
  </si>
  <si>
    <t>Material Purchased-Belinostat</t>
  </si>
  <si>
    <t>MSN Life Sciences Pvt Ltd</t>
  </si>
  <si>
    <t>Material Purchased-Isavuconazonium Sulfate</t>
  </si>
  <si>
    <t>29-09-2026</t>
  </si>
  <si>
    <t>Simson Pharma Limited</t>
  </si>
  <si>
    <t>Material Purchased-Indocyanin Green</t>
  </si>
  <si>
    <t>SPLISID262704506</t>
  </si>
  <si>
    <t>30-09-2026</t>
  </si>
  <si>
    <t>Monthly</t>
  </si>
  <si>
    <t>Scalene Credit Advisors LLP</t>
  </si>
  <si>
    <t>Professional Fee-Sept 26</t>
  </si>
  <si>
    <t>Quarterly</t>
  </si>
  <si>
    <t>Sejal Jain</t>
  </si>
  <si>
    <t>Professional Fee-Q2 Sept 26</t>
  </si>
  <si>
    <t>SJ/26-27/44</t>
  </si>
  <si>
    <t>Dorai Priya</t>
  </si>
  <si>
    <t>Mohammad Talha</t>
  </si>
  <si>
    <t xml:space="preserve">Reimbursement of Exps Paid </t>
  </si>
  <si>
    <t>Manasa N</t>
  </si>
  <si>
    <t>Mahendra Jillewar</t>
  </si>
  <si>
    <t>Rajesh Chauhan</t>
  </si>
  <si>
    <t>Employee Salary - Sept 26</t>
  </si>
  <si>
    <t>Salary for the month of Sept 2026</t>
  </si>
  <si>
    <t>Jyotsna Gaikwad</t>
  </si>
  <si>
    <t>Pharmacist Consultant-Sept 26</t>
  </si>
  <si>
    <t>PT on Salary - Oct 26</t>
  </si>
  <si>
    <t>PF on Salary - Sept 26</t>
  </si>
  <si>
    <t>ESIC on Salary - Sept 26</t>
  </si>
  <si>
    <t>TDS on Salary - Sept 26</t>
  </si>
  <si>
    <t>TDS on Professional Fee</t>
  </si>
  <si>
    <t>TDS on Professional Fee - Scalene Bill (Accounting &amp; Compliance)</t>
  </si>
  <si>
    <t>MUM/AUG/003</t>
  </si>
  <si>
    <t>TDS on Technical Fee</t>
  </si>
  <si>
    <t>TDS on Technical Fee- Sanavi IT Bill (Aug 26 Bill)</t>
  </si>
  <si>
    <t>INV-2627-072</t>
  </si>
  <si>
    <t>TDS on Professional Fee - Seema Menon Bill Aug 26</t>
  </si>
  <si>
    <t>TSHR/Sep/03</t>
  </si>
  <si>
    <t>TDS on Rent</t>
  </si>
  <si>
    <t>TDS on Rent-Pradeep motwani Sept Bill</t>
  </si>
  <si>
    <t>R006</t>
  </si>
  <si>
    <t>TDS on Consultant Fee</t>
  </si>
  <si>
    <t xml:space="preserve">TDS on Consultant Fee-Tradetimes Consultancy bill </t>
  </si>
  <si>
    <t xml:space="preserve">42/2026-27 </t>
  </si>
  <si>
    <t>TDS on Technical Fee- Jeevan M1 Bill</t>
  </si>
  <si>
    <t>JS26-27BABE/367</t>
  </si>
  <si>
    <t>TDS on Technical Fee- Jeevan M2 Bill</t>
  </si>
  <si>
    <t>JS26-27BABE/368</t>
  </si>
  <si>
    <t>TDS on Technical Fee- Nayas M2 Bill (Flibanserin)</t>
  </si>
  <si>
    <t>NYS/FRD/26-27/036</t>
  </si>
  <si>
    <t>TDS on Professional Fee-V L V Bill</t>
  </si>
  <si>
    <t>TDS on Technical Fee-Vishal Patil Bill</t>
  </si>
  <si>
    <t>TDS on Technical Fee-Jitendra Thakur Bill</t>
  </si>
  <si>
    <t>TDS on Technical Fee-Ortiv Q3 Bill</t>
  </si>
  <si>
    <t>IN11CBA2600141</t>
  </si>
  <si>
    <t>TDS on Professional Fee-Appropriate IP Bill</t>
  </si>
  <si>
    <t>292/26-27</t>
  </si>
  <si>
    <t>TDS on Technical Fee-Teena Biolabs Bill</t>
  </si>
  <si>
    <t>TDS on Professional Fee-Sejal Jain Q2 Bill</t>
  </si>
  <si>
    <t>TDS on Professional Fee-Dorai Priya Bill</t>
  </si>
  <si>
    <t>Progressive Advisors</t>
  </si>
  <si>
    <t xml:space="preserve">Professional fees  Towards Attending the Hearing Matter Related to GST Refund </t>
  </si>
  <si>
    <t>Sep/26-27/029</t>
  </si>
  <si>
    <t>M1 -Signing of Contract for Pivotal study Drospi 4mg under fasting study</t>
  </si>
  <si>
    <t>M2 -35% Part B of Project Cost Upon Initiation Of Clinical Phase Drospi 4mg under fasting study</t>
  </si>
  <si>
    <t>Appropriate IP-Bharti Amit Nadarni</t>
  </si>
  <si>
    <t>Professional fee for 9 products list sent Aug 22, 2026</t>
  </si>
  <si>
    <t>PSD analysis for API Betamethasone acetate</t>
  </si>
  <si>
    <t>8-15 days</t>
  </si>
  <si>
    <t>SynZeal Research Pvt Ltd</t>
  </si>
  <si>
    <t>Material Purchased-Isavuconazonium Sulfate WS</t>
  </si>
  <si>
    <t>SZ-26-27-7242</t>
  </si>
  <si>
    <t>SZ-26-27-7355</t>
  </si>
  <si>
    <t>15-10-2026</t>
  </si>
  <si>
    <t>16-30 days</t>
  </si>
  <si>
    <t>Material Purchased-Isavuconazole diamine impurity</t>
  </si>
  <si>
    <t>SZ-26-27-7524</t>
  </si>
  <si>
    <t>18-10-2026</t>
  </si>
  <si>
    <t>Material Purchased- Glutacondianil Hydrochloride (IC Green)</t>
  </si>
  <si>
    <t>SPLISID262705190</t>
  </si>
  <si>
    <t>23-10-2026</t>
  </si>
  <si>
    <t>Sanctioned</t>
  </si>
  <si>
    <t>Disbersed</t>
  </si>
  <si>
    <t>Outstanding</t>
  </si>
  <si>
    <t>hoi</t>
  </si>
  <si>
    <t>Receipt Cycle</t>
  </si>
  <si>
    <t>Receiver Company</t>
  </si>
  <si>
    <t>Vendor Name/ Income Name</t>
  </si>
  <si>
    <t>Amount Receivable</t>
  </si>
  <si>
    <t>Timline_Bucket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</si>
</sst>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d/mmm/yy;@"/>
    <numFmt numFmtId="166" formatCode="_(* #,##0_);_(* \(#,##0\);_(* &quot;-&quot;??_);_(@_)"/>
  </numFmts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/>
    <xf numFmtId="43" fontId="3" fillId="0" borderId="1" xfId="1" applyFont="1" applyBorder="1"/>
    <xf numFmtId="164" fontId="3" fillId="0" borderId="0" xfId="1" applyNumberFormat="1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5" fillId="2" borderId="2" xfId="0" applyFont="1" applyFill="1" applyBorder="1"/>
    <xf numFmtId="0" fontId="3" fillId="0" borderId="2" xfId="0" applyFont="1" applyBorder="1"/>
    <xf numFmtId="49" fontId="3" fillId="0" borderId="1" xfId="0" quotePrefix="1" applyNumberFormat="1" applyFont="1" applyBorder="1" applyAlignment="1">
      <alignment horizontal="right"/>
    </xf>
    <xf numFmtId="0" fontId="8" fillId="3" borderId="0" xfId="0" applyFont="1" applyFill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5" fontId="6" fillId="3" borderId="4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4" xfId="0" applyBorder="1"/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5" fontId="0" fillId="0" borderId="5" xfId="0" applyNumberFormat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6" fontId="7" fillId="3" borderId="7" xfId="1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3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64" fontId="3" fillId="0" borderId="0" xfId="0" applyNumberFormat="1" applyFont="1"/>
    <xf numFmtId="14" fontId="0" fillId="0" borderId="5" xfId="1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9" fillId="0" borderId="4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4" fontId="1" fillId="0" borderId="7" xfId="1" applyNumberFormat="1" applyFont="1" applyFill="1" applyBorder="1" applyAlignment="1">
      <alignment vertical="center"/>
    </xf>
    <xf numFmtId="15" fontId="0" fillId="0" borderId="7" xfId="0" applyNumberFormat="1" applyBorder="1" applyAlignment="1">
      <alignment horizontal="center" vertical="center"/>
    </xf>
    <xf numFmtId="15" fontId="0" fillId="0" borderId="10" xfId="0" applyNumberFormat="1" applyBorder="1" applyAlignment="1">
      <alignment vertical="center"/>
    </xf>
    <xf numFmtId="14" fontId="1" fillId="0" borderId="5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11" xfId="0" applyFont="1" applyBorder="1"/>
    <xf numFmtId="164" fontId="3" fillId="0" borderId="0" xfId="1" applyNumberFormat="1" applyFont="1" applyBorder="1"/>
    <xf numFmtId="164" fontId="3" fillId="0" borderId="0" xfId="1" applyNumberFormat="1" applyFont="1" applyBorder="1" applyAlignment="1">
      <alignment horizontal="center"/>
    </xf>
    <xf numFmtId="0" fontId="10" fillId="0" borderId="1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9" xfId="0" applyFont="1" applyBorder="1" applyAlignment="1">
      <alignment wrapText="1"/>
    </xf>
    <xf numFmtId="0" fontId="9" fillId="0" borderId="6" xfId="0" applyFont="1" applyBorder="1"/>
    <xf numFmtId="0" fontId="9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3" fontId="9" fillId="0" borderId="8" xfId="0" applyNumberFormat="1" applyFont="1" applyBorder="1"/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" fontId="9" fillId="0" borderId="8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7" fillId="3" borderId="7" xfId="0" applyFont="1" applyFill="1" applyBorder="1" applyAlignment="1">
      <alignment horizontal="right" vertical="center" wrapText="1"/>
    </xf>
    <xf numFmtId="14" fontId="9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0" borderId="5" xfId="0" applyFont="1" applyBorder="1" applyAlignment="1">
      <alignment horizontal="center" vertical="center"/>
    </xf>
    <xf numFmtId="166" fontId="1" fillId="0" borderId="5" xfId="1" applyNumberFormat="1" applyFont="1" applyBorder="1" applyAlignment="1">
      <alignment vertical="center"/>
    </xf>
    <xf numFmtId="0" fontId="9" fillId="0" borderId="3" xfId="0" applyFont="1" applyBorder="1" applyAlignment="1">
      <alignment wrapText="1"/>
    </xf>
    <xf numFmtId="14" fontId="1" fillId="0" borderId="5" xfId="1" applyNumberFormat="1" applyFont="1" applyFill="1" applyBorder="1" applyAlignment="1">
      <alignment horizontal="right" vertical="center"/>
    </xf>
    <xf numFmtId="166" fontId="1" fillId="0" borderId="10" xfId="1" applyNumberFormat="1" applyFont="1" applyBorder="1" applyAlignment="1">
      <alignment vertical="center"/>
    </xf>
    <xf numFmtId="16" fontId="9" fillId="0" borderId="8" xfId="0" applyNumberFormat="1" applyFont="1" applyBorder="1"/>
  </cellXfs>
  <cellStyles count="2">
    <cellStyle name="Comma" xfId="1" builtinId="3"/>
    <cellStyle name="Normal" xfId="0" builtinId="0"/>
  </cellStyles>
  <dxfs count="6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0" formatCode="dd/mmm/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auto="1"/>
        </lef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 * #,##0_ ;_ * \-#,##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 outline="0">
        <left style="dotted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B60C1-7D6B-4E86-AE08-ED75CAA9B8CA}" name="tbl_Fund_Position" displayName="tbl_Fund_Position" ref="A1:G9" totalsRowShown="0" headerRowDxfId="59" tableBorderDxfId="58">
  <autoFilter ref="A1:G9" xr:uid="{AAFB60C1-7D6B-4E86-AE08-ED75CAA9B8CA}"/>
  <tableColumns count="7">
    <tableColumn id="1" xr3:uid="{8AE978BD-E355-4819-89EE-BFE140998492}" name="Name of Company" dataDxfId="57"/>
    <tableColumn id="2" xr3:uid="{3B2019BC-F59A-46B5-A114-05D87A1FF264}" name="Bank Name " dataDxfId="56"/>
    <tableColumn id="3" xr3:uid="{90D2AC16-400F-4A3E-90FC-14ADD735A7C4}" name="Account No." dataDxfId="55"/>
    <tableColumn id="4" xr3:uid="{9891A454-2351-4D27-B34C-8E7906F0000E}" name="Balance (INR)" dataDxfId="54" dataCellStyle="Comma"/>
    <tableColumn id="5" xr3:uid="{3D3FE8EA-6A77-4E36-BAC5-C6FEA877DB60}" name="Balance (USD)" dataDxfId="53" dataCellStyle="Comma"/>
    <tableColumn id="6" xr3:uid="{07B523F1-8F7E-4FBE-9D9A-9F7F54C1AFDF}" name="INR Equivalent" dataDxfId="52" dataCellStyle="Comma"/>
    <tableColumn id="7" xr3:uid="{2A35A679-80C1-40CD-8581-4C946AB81711}" name="Entity Type" dataDxfId="5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8D147-7B39-4BF4-903C-8AB3857266BB}" name="tbl_Payables" displayName="tbl_Payables" ref="A1:W69" totalsRowShown="0" headerRowDxfId="50" dataDxfId="49" tableBorderDxfId="48">
  <autoFilter ref="A1:W69" xr:uid="{C648D147-7B39-4BF4-903C-8AB3857266BB}"/>
  <tableColumns count="23">
    <tableColumn id="1" xr3:uid="{EC1BD3BC-B0A6-480B-B6AA-82D815B8370E}" name="Tracker Serial No." dataDxfId="47"/>
    <tableColumn id="2" xr3:uid="{460ABD18-DB23-41AA-9853-138C7FACD0D1}" name="Cost For Project" dataDxfId="46"/>
    <tableColumn id="3" xr3:uid="{69F51609-051E-4BC3-99B6-2260C0C85FFC}" name="Status Payment processed [Y/N]" dataDxfId="45"/>
    <tableColumn id="4" xr3:uid="{5A966249-44AC-49FA-B18F-6FC2A27F356C}" name="Payment Cycle" dataDxfId="44"/>
    <tableColumn id="5" xr3:uid="{680466E3-F4C4-4304-94D2-E9B3E6838A14}" name="Payer Company" dataDxfId="43"/>
    <tableColumn id="6" xr3:uid="{2AAA997A-3F17-44E4-B6BA-E6DD835FC582}" name="Branch" dataDxfId="42"/>
    <tableColumn id="7" xr3:uid="{D48298C1-8039-426E-8997-29CA5AD4EEBC}" name="Approved IN Vendor Management Software?" dataDxfId="41"/>
    <tableColumn id="8" xr3:uid="{45BD7004-889F-4055-8F81-61AE5539577A}" name="Approval Date" dataDxfId="40"/>
    <tableColumn id="9" xr3:uid="{792267BD-26CF-4F9B-A504-CA5219D184AF}" name="Vendor Name/ Expense Name" dataDxfId="39"/>
    <tableColumn id="10" xr3:uid="{59497FA2-AEE3-4B0F-83B8-9317488095B6}" name="Product/Service" dataDxfId="38"/>
    <tableColumn id="11" xr3:uid="{299B039D-335F-4FAA-8C51-6B63B8103790}" name="Whether Pass Through Bill" dataDxfId="37"/>
    <tableColumn id="12" xr3:uid="{4D62D458-F3DE-4A7C-ADB3-E02D96CAB7C6}" name="Against Invoice Ref." dataDxfId="36"/>
    <tableColumn id="13" xr3:uid="{7E62F5FE-5EC9-4D68-8DBE-8033A068F96F}" name="Invoice Date" dataDxfId="35"/>
    <tableColumn id="14" xr3:uid="{E577664B-1C30-43F2-8A3A-94CAD2F7BFCF}" name="Due Date" dataDxfId="34"/>
    <tableColumn id="15" xr3:uid="{10A6F8C8-E092-4BF8-8529-A1DB0545E14C}" name="Transaction Posting Date" dataDxfId="33"/>
    <tableColumn id="16" xr3:uid="{40749820-2C72-415E-9696-AC5B2C94A5E2}" name="Amount Payable" dataDxfId="32" dataCellStyle="Comma"/>
    <tableColumn id="17" xr3:uid="{D06320FE-347F-4D08-9A3D-63621DE962E3}" name="Due Date2" dataDxfId="31" dataCellStyle="Comma"/>
    <tableColumn id="18" xr3:uid="{61C18F72-A794-4375-90A6-ECD505F77F3F}" name="Payment Status Paid/ Not paid" dataDxfId="30"/>
    <tableColumn id="19" xr3:uid="{3F5E02DA-ADF5-428D-8B25-02C395204D5A}" name="Bank Account Number" dataDxfId="29"/>
    <tableColumn id="20" xr3:uid="{EA5818E4-AB63-465D-8CAD-9F2CFEA54EFF}" name="IFSC CODE" dataDxfId="28"/>
    <tableColumn id="21" xr3:uid="{331FB938-46E5-4DC9-82C3-E8B0E11420B8}" name="Bank Branch" dataDxfId="27"/>
    <tableColumn id="22" xr3:uid="{8E82285C-569F-4DA9-8CA6-F43F94A1B823}" name="Remarks" dataDxfId="26"/>
    <tableColumn id="23" xr3:uid="{3A00E4FB-59C5-4AFD-B914-D86B809EBFE3}" name="Timeline_Bucket" dataDxfId="2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99CA3F-A004-42D5-9FDC-71016D6A8B16}" name="tbl_Borrowings" displayName="tbl_Borrowings" ref="A1:C2" totalsRowShown="0">
  <autoFilter ref="A1:C2" xr:uid="{CD99CA3F-A004-42D5-9FDC-71016D6A8B16}"/>
  <tableColumns count="3">
    <tableColumn id="1" xr3:uid="{FD318BC2-7C0D-4E96-95A1-45247D767128}" name="Sanctioned"/>
    <tableColumn id="2" xr3:uid="{9D214CBC-26E2-4BB8-9051-CA287754242F}" name="Disbersed"/>
    <tableColumn id="3" xr3:uid="{D69520ED-F128-4794-8D6A-F81E231C3408}" name="Outstan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FD6D04-84A9-4710-AA5A-1D337296099D}" name="tbl_Receivables" displayName="tbl_Receivables" ref="A1:W3" totalsRowShown="0" headerRowDxfId="24" tableBorderDxfId="23">
  <autoFilter ref="A1:W3" xr:uid="{3CFD6D04-84A9-4710-AA5A-1D337296099D}"/>
  <tableColumns count="23">
    <tableColumn id="1" xr3:uid="{DE32AAA3-28DC-498F-8796-4FF7AF1009F9}" name="hoi" dataDxfId="22"/>
    <tableColumn id="2" xr3:uid="{49F48683-7BFE-4C59-A770-78533F130E37}" name="Cost For Project" dataDxfId="21"/>
    <tableColumn id="3" xr3:uid="{4CD4E979-50CE-4695-8715-3C5F6D45716D}" name="Status Payment processed [Y/N]" dataDxfId="20"/>
    <tableColumn id="4" xr3:uid="{04C92FA1-0DC0-41E2-9249-1C878D803DD3}" name="Receipt Cycle" dataDxfId="19"/>
    <tableColumn id="5" xr3:uid="{E2CC333D-388A-407C-92C7-29D79881035B}" name="Receiver Company" dataDxfId="18"/>
    <tableColumn id="6" xr3:uid="{CDC65551-4E61-4964-852C-A452079FB867}" name="Branch" dataDxfId="17"/>
    <tableColumn id="7" xr3:uid="{CA92E357-3BAE-4BD2-B6BD-B6EC4340FDD7}" name="Approved IN Vendor Management Software?" dataDxfId="16"/>
    <tableColumn id="8" xr3:uid="{40BDADDE-2328-456D-83B9-8893E78CE7A4}" name="Approval Date" dataDxfId="15"/>
    <tableColumn id="9" xr3:uid="{29BD50C6-74F0-4BDB-ABC2-2ADC3082175B}" name="Vendor Name/ Income Name" dataDxfId="14"/>
    <tableColumn id="10" xr3:uid="{D1C2DA89-3D64-481E-869A-BFD1B47704AD}" name="Product/Service" dataDxfId="13"/>
    <tableColumn id="11" xr3:uid="{08BDC2D8-EF15-4429-990B-AB4A3EF67DED}" name="Whether Pass Through Bill" dataDxfId="12"/>
    <tableColumn id="12" xr3:uid="{46F0C22B-3C54-4E64-B60C-9C8609618EEB}" name="Against Invoice Ref." dataDxfId="11"/>
    <tableColumn id="13" xr3:uid="{E6938F5E-C1BD-41D2-9803-A67FE97ECE52}" name="Invoice Date" dataDxfId="10"/>
    <tableColumn id="14" xr3:uid="{A6204AF5-4738-45EE-AC51-60B663DBA2E8}" name="Due Date" dataDxfId="9"/>
    <tableColumn id="15" xr3:uid="{BECF0A15-8FA5-4144-9288-D0EFACFA51AC}" name="Transaction Posting Date" dataDxfId="8"/>
    <tableColumn id="16" xr3:uid="{60B067BD-B474-4C58-8BE5-C036EDD1A3CC}" name="Amount Receivable" dataDxfId="7" dataCellStyle="Comma"/>
    <tableColumn id="17" xr3:uid="{5466418F-AC6F-42E0-A8A2-E243E01559D7}" name="Due Date2" dataDxfId="6" dataCellStyle="Comma"/>
    <tableColumn id="18" xr3:uid="{6485CFEA-17F3-4748-AB26-D2C7750AF29A}" name="Payment Status Paid/ Not paid" dataDxfId="5"/>
    <tableColumn id="19" xr3:uid="{00DE401C-2B36-40F9-9B15-F27C2CB835EC}" name="Bank Account Number" dataDxfId="4"/>
    <tableColumn id="20" xr3:uid="{70029A4D-5669-44C4-8C0E-EB4C717678BB}" name="IFSC CODE" dataDxfId="3"/>
    <tableColumn id="21" xr3:uid="{4B8185C6-54C1-4261-B44A-009A7E8E5054}" name="Bank Branch" dataDxfId="2"/>
    <tableColumn id="22" xr3:uid="{897FD2C1-309F-4839-A0F2-A938212768C8}" name="Remarks" dataDxfId="1"/>
    <tableColumn id="23" xr3:uid="{1CAAA3FD-D265-49A5-814B-1EE05717445A}" name="Timline_Bucke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ibnext.icicibank.com/corp/Finacle;jsessionid=0000E_oSMBWUNGmHZ2SGofTDdJl:PRD109CIBNXAPPO?bwayparam=oaTLBOcSDE%2BgS%2Bfny0CeB0f5oWi%2FcfzaqGy1ID8BSbirqAJtJyo1xf6XYqsCY8OKKjefxX29hT2ShcCn63a%2Fsud%2FkyNL2AWe2VP8mYzKd8rUqkRL08PVajlCrZ%2BMocEi%0D%0A8xYs1evutXWK61K0vwGNQ465pbT8pK7Z5hPQhBHjLTUpZnweBKsv4tvKDOkThHT9CHK39QTw%2BMVnYdQMTdZIn5HUw8HBc0Ejx%2B4iC3YpGiFJZr0MQEgSfnmAvUsbOdEI4jIS%0D%0AguKy8%2FQEP6zpYZMOMmfkGjbRNObyuhLr7Run8CezUuyQMpGsXKBZsdK4sydyyLzeghygPehG%2BA5HzH8r7xRbmViFqE0ehLxn4JZ0BK8auMhw5tSsIEtgFMnk6x6%2FcbtEVsjB%0D%0AqtOF5v9b3mYdysfUdrS6AHRLk4J2LcPKWL0Ia9S5RHqipDqOhXQ%2BE74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5" sqref="D15"/>
    </sheetView>
  </sheetViews>
  <sheetFormatPr defaultColWidth="9" defaultRowHeight="13.8" x14ac:dyDescent="0.25"/>
  <cols>
    <col min="1" max="1" width="39.21875" style="1" bestFit="1" customWidth="1"/>
    <col min="2" max="2" width="29.109375" style="1" customWidth="1"/>
    <col min="3" max="3" width="14.6640625" style="1" customWidth="1"/>
    <col min="4" max="4" width="16" style="1" customWidth="1"/>
    <col min="5" max="5" width="16.77734375" style="1" customWidth="1"/>
    <col min="6" max="6" width="17.21875" style="1" customWidth="1"/>
    <col min="7" max="7" width="14" style="1" customWidth="1"/>
    <col min="8" max="8" width="13" style="1" customWidth="1"/>
    <col min="9" max="16384" width="9" style="1"/>
  </cols>
  <sheetData>
    <row r="1" spans="1:7" x14ac:dyDescent="0.25">
      <c r="A1" s="1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12" t="s">
        <v>7</v>
      </c>
      <c r="B2" s="5" t="s">
        <v>8</v>
      </c>
      <c r="C2" s="5">
        <v>33405011761</v>
      </c>
      <c r="D2" s="6">
        <v>4137921.72</v>
      </c>
      <c r="E2" s="6"/>
      <c r="F2" s="6">
        <f>D2</f>
        <v>4137921.72</v>
      </c>
      <c r="G2" s="1" t="s">
        <v>9</v>
      </c>
    </row>
    <row r="3" spans="1:7" x14ac:dyDescent="0.25">
      <c r="A3" s="12" t="s">
        <v>10</v>
      </c>
      <c r="B3" s="5" t="s">
        <v>11</v>
      </c>
      <c r="C3" s="13" t="s">
        <v>12</v>
      </c>
      <c r="D3" s="7"/>
      <c r="E3" s="6">
        <f>522537.66-100000-358000</f>
        <v>64537.659999999974</v>
      </c>
      <c r="F3" s="6">
        <f>+tbl_Fund_Position[[#This Row],[Balance (USD)]]*95</f>
        <v>6131077.6999999974</v>
      </c>
      <c r="G3" s="1" t="s">
        <v>9</v>
      </c>
    </row>
    <row r="4" spans="1:7" x14ac:dyDescent="0.25">
      <c r="A4" s="12" t="s">
        <v>7</v>
      </c>
      <c r="B4" s="1" t="s">
        <v>13</v>
      </c>
      <c r="C4" s="9" t="s">
        <v>14</v>
      </c>
      <c r="D4" s="8">
        <f>22500000-5000000-5000000-10000000+7500000-5000000-2000000-2000000-1000000</f>
        <v>0</v>
      </c>
      <c r="E4" s="10"/>
      <c r="F4" s="8">
        <f t="shared" ref="F4:F9" si="0">+D4</f>
        <v>0</v>
      </c>
      <c r="G4" s="1" t="s">
        <v>15</v>
      </c>
    </row>
    <row r="5" spans="1:7" x14ac:dyDescent="0.25">
      <c r="A5" s="12" t="s">
        <v>7</v>
      </c>
      <c r="B5" s="1" t="s">
        <v>13</v>
      </c>
      <c r="C5" s="9" t="s">
        <v>16</v>
      </c>
      <c r="D5" s="8">
        <f>5000000-2000000-3000000</f>
        <v>0</v>
      </c>
      <c r="E5" s="10"/>
      <c r="F5" s="8">
        <f t="shared" si="0"/>
        <v>0</v>
      </c>
      <c r="G5" s="1" t="s">
        <v>15</v>
      </c>
    </row>
    <row r="6" spans="1:7" x14ac:dyDescent="0.25">
      <c r="A6" s="12" t="s">
        <v>7</v>
      </c>
      <c r="B6" s="1" t="s">
        <v>13</v>
      </c>
      <c r="C6" s="9" t="s">
        <v>17</v>
      </c>
      <c r="D6" s="8">
        <f>3500000-1000000-1500000-1000000</f>
        <v>0</v>
      </c>
      <c r="E6" s="10"/>
      <c r="F6" s="8">
        <f t="shared" si="0"/>
        <v>0</v>
      </c>
      <c r="G6" s="1" t="s">
        <v>15</v>
      </c>
    </row>
    <row r="7" spans="1:7" x14ac:dyDescent="0.25">
      <c r="A7" s="52" t="s">
        <v>7</v>
      </c>
      <c r="B7" s="55" t="s">
        <v>18</v>
      </c>
      <c r="C7" s="9">
        <v>33410014400</v>
      </c>
      <c r="D7" s="53">
        <v>10000</v>
      </c>
      <c r="E7" s="54"/>
      <c r="F7" s="53">
        <f t="shared" si="0"/>
        <v>10000</v>
      </c>
      <c r="G7" s="1" t="s">
        <v>19</v>
      </c>
    </row>
    <row r="8" spans="1:7" x14ac:dyDescent="0.25">
      <c r="A8" s="12" t="s">
        <v>7</v>
      </c>
      <c r="B8" s="5" t="s">
        <v>18</v>
      </c>
      <c r="C8" s="9">
        <v>33410014517</v>
      </c>
      <c r="D8" s="53">
        <v>490000</v>
      </c>
      <c r="E8" s="54"/>
      <c r="F8" s="53">
        <f t="shared" si="0"/>
        <v>490000</v>
      </c>
      <c r="G8" s="1" t="s">
        <v>19</v>
      </c>
    </row>
    <row r="9" spans="1:7" x14ac:dyDescent="0.25">
      <c r="A9" s="12" t="s">
        <v>7</v>
      </c>
      <c r="B9" s="5" t="s">
        <v>18</v>
      </c>
      <c r="C9" s="9">
        <v>33410014404</v>
      </c>
      <c r="D9" s="53">
        <v>500000</v>
      </c>
      <c r="E9" s="54"/>
      <c r="F9" s="53">
        <f t="shared" si="0"/>
        <v>500000</v>
      </c>
      <c r="G9" s="1" t="s">
        <v>19</v>
      </c>
    </row>
    <row r="10" spans="1:7" x14ac:dyDescent="0.25">
      <c r="A10" s="2"/>
      <c r="F10" s="37" t="s">
        <v>20</v>
      </c>
    </row>
  </sheetData>
  <hyperlinks>
    <hyperlink ref="C2" r:id="rId1" tooltip="Account Number" display="33405011761" xr:uid="{00000000-0004-0000-00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340A-89CC-4FB3-A2E9-62B82FE9F24E}">
  <dimension ref="A1:W69"/>
  <sheetViews>
    <sheetView topLeftCell="I50" zoomScale="80" zoomScaleNormal="80" workbookViewId="0">
      <selection activeCell="P2" sqref="P2:P69"/>
    </sheetView>
  </sheetViews>
  <sheetFormatPr defaultRowHeight="14.4" x14ac:dyDescent="0.25"/>
  <cols>
    <col min="1" max="1" width="11.6640625" bestFit="1" customWidth="1"/>
    <col min="2" max="2" width="12.21875" hidden="1" customWidth="1"/>
    <col min="3" max="3" width="13" hidden="1" customWidth="1"/>
    <col min="4" max="4" width="12.77734375" bestFit="1" customWidth="1"/>
    <col min="5" max="5" width="13.33203125" bestFit="1" customWidth="1"/>
    <col min="6" max="6" width="11.21875" bestFit="1" customWidth="1"/>
    <col min="7" max="7" width="12.77734375" bestFit="1" customWidth="1"/>
    <col min="8" max="8" width="12.88671875" bestFit="1" customWidth="1"/>
    <col min="9" max="9" width="35.44140625" bestFit="1" customWidth="1"/>
    <col min="10" max="10" width="47.109375" customWidth="1"/>
    <col min="11" max="11" width="12.44140625" bestFit="1" customWidth="1"/>
    <col min="12" max="12" width="16.33203125" style="51" bestFit="1" customWidth="1"/>
    <col min="13" max="13" width="11.44140625" bestFit="1" customWidth="1"/>
    <col min="14" max="14" width="12.88671875" bestFit="1" customWidth="1"/>
    <col min="15" max="15" width="13.109375" bestFit="1" customWidth="1"/>
    <col min="16" max="16" width="13.77734375" bestFit="1" customWidth="1"/>
    <col min="17" max="17" width="12.109375" style="71" bestFit="1" customWidth="1"/>
    <col min="18" max="18" width="13.21875" bestFit="1" customWidth="1"/>
    <col min="19" max="19" width="12.21875" bestFit="1" customWidth="1"/>
    <col min="20" max="20" width="10.21875" bestFit="1" customWidth="1"/>
    <col min="21" max="21" width="11.21875" bestFit="1" customWidth="1"/>
    <col min="22" max="22" width="12.77734375" bestFit="1" customWidth="1"/>
    <col min="23" max="23" width="19.33203125" bestFit="1" customWidth="1"/>
  </cols>
  <sheetData>
    <row r="1" spans="1:23" ht="57.6" x14ac:dyDescent="0.25">
      <c r="A1" s="29" t="s">
        <v>21</v>
      </c>
      <c r="B1" s="30" t="s">
        <v>22</v>
      </c>
      <c r="C1" s="30" t="s">
        <v>23</v>
      </c>
      <c r="D1" s="30" t="s">
        <v>24</v>
      </c>
      <c r="E1" s="30" t="s">
        <v>25</v>
      </c>
      <c r="F1" s="30" t="s">
        <v>26</v>
      </c>
      <c r="G1" s="30" t="s">
        <v>27</v>
      </c>
      <c r="H1" s="30" t="s">
        <v>28</v>
      </c>
      <c r="I1" s="30" t="s">
        <v>29</v>
      </c>
      <c r="J1" s="30" t="s">
        <v>30</v>
      </c>
      <c r="K1" s="30" t="s">
        <v>31</v>
      </c>
      <c r="L1" s="30" t="s">
        <v>32</v>
      </c>
      <c r="M1" s="31" t="s">
        <v>33</v>
      </c>
      <c r="N1" s="30" t="s">
        <v>34</v>
      </c>
      <c r="O1" s="30" t="s">
        <v>35</v>
      </c>
      <c r="P1" s="32" t="s">
        <v>36</v>
      </c>
      <c r="Q1" s="68" t="s">
        <v>37</v>
      </c>
      <c r="R1" s="30" t="s">
        <v>38</v>
      </c>
      <c r="S1" s="30" t="s">
        <v>39</v>
      </c>
      <c r="T1" s="30" t="s">
        <v>40</v>
      </c>
      <c r="U1" s="30" t="s">
        <v>41</v>
      </c>
      <c r="V1" s="30" t="s">
        <v>42</v>
      </c>
      <c r="W1" s="14" t="s">
        <v>43</v>
      </c>
    </row>
    <row r="2" spans="1:23" ht="15" x14ac:dyDescent="0.3">
      <c r="A2" s="26">
        <v>1</v>
      </c>
      <c r="B2" s="25"/>
      <c r="C2" s="39"/>
      <c r="D2" s="33" t="s">
        <v>44</v>
      </c>
      <c r="E2" s="34" t="s">
        <v>45</v>
      </c>
      <c r="F2" s="25"/>
      <c r="G2" s="25"/>
      <c r="H2" s="28"/>
      <c r="I2" s="33" t="s">
        <v>46</v>
      </c>
      <c r="J2" s="34" t="s">
        <v>47</v>
      </c>
      <c r="K2" s="27"/>
      <c r="L2" s="63" t="s">
        <v>48</v>
      </c>
      <c r="M2" s="27"/>
      <c r="N2" s="27"/>
      <c r="O2" s="27"/>
      <c r="P2" s="41">
        <v>5367900</v>
      </c>
      <c r="Q2" s="69">
        <v>46300</v>
      </c>
      <c r="R2" s="27"/>
      <c r="S2" s="27"/>
      <c r="T2" s="27"/>
      <c r="U2" s="27"/>
      <c r="V2" s="27"/>
      <c r="W2" s="25" t="s">
        <v>49</v>
      </c>
    </row>
    <row r="3" spans="1:23" ht="15" x14ac:dyDescent="0.3">
      <c r="A3" s="26">
        <v>2</v>
      </c>
      <c r="B3" s="25"/>
      <c r="C3" s="39"/>
      <c r="D3" s="56" t="s">
        <v>44</v>
      </c>
      <c r="E3" s="57" t="s">
        <v>45</v>
      </c>
      <c r="F3" s="25"/>
      <c r="G3" s="25"/>
      <c r="H3" s="28"/>
      <c r="I3" s="56" t="s">
        <v>50</v>
      </c>
      <c r="J3" s="57" t="s">
        <v>51</v>
      </c>
      <c r="K3" s="27"/>
      <c r="L3" s="64" t="s">
        <v>52</v>
      </c>
      <c r="M3" s="27"/>
      <c r="N3" s="27"/>
      <c r="O3" s="27"/>
      <c r="P3" s="62">
        <v>1618200</v>
      </c>
      <c r="Q3" s="66">
        <v>46331</v>
      </c>
      <c r="R3" s="27"/>
      <c r="S3" s="27"/>
      <c r="T3" s="27"/>
      <c r="U3" s="27"/>
      <c r="V3" s="27"/>
      <c r="W3" s="25" t="s">
        <v>49</v>
      </c>
    </row>
    <row r="4" spans="1:23" ht="15" x14ac:dyDescent="0.3">
      <c r="A4" s="26">
        <v>3</v>
      </c>
      <c r="B4" s="25"/>
      <c r="C4" s="39"/>
      <c r="D4" s="56" t="s">
        <v>44</v>
      </c>
      <c r="E4" s="57" t="s">
        <v>45</v>
      </c>
      <c r="F4" s="25"/>
      <c r="G4" s="25"/>
      <c r="H4" s="28"/>
      <c r="I4" s="56" t="s">
        <v>50</v>
      </c>
      <c r="J4" s="57" t="s">
        <v>53</v>
      </c>
      <c r="K4" s="27"/>
      <c r="L4" s="64" t="s">
        <v>54</v>
      </c>
      <c r="M4" s="27"/>
      <c r="N4" s="27"/>
      <c r="O4" s="27"/>
      <c r="P4" s="62">
        <v>1618200</v>
      </c>
      <c r="Q4" s="66">
        <v>46331</v>
      </c>
      <c r="R4" s="27"/>
      <c r="S4" s="27"/>
      <c r="T4" s="27"/>
      <c r="U4" s="27"/>
      <c r="V4" s="27"/>
      <c r="W4" s="25" t="s">
        <v>49</v>
      </c>
    </row>
    <row r="5" spans="1:23" ht="15" x14ac:dyDescent="0.3">
      <c r="A5" s="26">
        <v>4</v>
      </c>
      <c r="B5" s="25"/>
      <c r="C5" s="39"/>
      <c r="D5" s="56" t="s">
        <v>44</v>
      </c>
      <c r="E5" s="57" t="s">
        <v>45</v>
      </c>
      <c r="F5" s="25"/>
      <c r="G5" s="25"/>
      <c r="H5" s="28"/>
      <c r="I5" s="56" t="s">
        <v>50</v>
      </c>
      <c r="J5" s="57" t="s">
        <v>55</v>
      </c>
      <c r="K5" s="27"/>
      <c r="L5" s="64" t="s">
        <v>56</v>
      </c>
      <c r="M5" s="27"/>
      <c r="N5" s="27"/>
      <c r="O5" s="27"/>
      <c r="P5" s="62">
        <v>1618200</v>
      </c>
      <c r="Q5" s="66">
        <v>46331</v>
      </c>
      <c r="R5" s="27"/>
      <c r="S5" s="27"/>
      <c r="T5" s="27"/>
      <c r="U5" s="27"/>
      <c r="V5" s="27"/>
      <c r="W5" s="25" t="s">
        <v>49</v>
      </c>
    </row>
    <row r="6" spans="1:23" ht="15" x14ac:dyDescent="0.3">
      <c r="A6" s="26">
        <v>5</v>
      </c>
      <c r="B6" s="25"/>
      <c r="C6" s="39"/>
      <c r="D6" s="56" t="s">
        <v>44</v>
      </c>
      <c r="E6" s="57" t="s">
        <v>45</v>
      </c>
      <c r="F6" s="25"/>
      <c r="G6" s="25"/>
      <c r="H6" s="28"/>
      <c r="I6" s="56" t="s">
        <v>57</v>
      </c>
      <c r="J6" s="57" t="s">
        <v>58</v>
      </c>
      <c r="K6" s="27"/>
      <c r="L6" s="64" t="s">
        <v>59</v>
      </c>
      <c r="M6" s="27"/>
      <c r="N6" s="27"/>
      <c r="O6" s="27"/>
      <c r="P6" s="62">
        <v>15000</v>
      </c>
      <c r="Q6" s="66" t="s">
        <v>60</v>
      </c>
      <c r="R6" s="27"/>
      <c r="S6" s="27"/>
      <c r="T6" s="27"/>
      <c r="U6" s="27"/>
      <c r="V6" s="27"/>
      <c r="W6" s="25" t="s">
        <v>49</v>
      </c>
    </row>
    <row r="7" spans="1:23" ht="15" x14ac:dyDescent="0.3">
      <c r="A7" s="26">
        <v>6</v>
      </c>
      <c r="B7" s="25"/>
      <c r="C7" s="39"/>
      <c r="D7" s="56" t="s">
        <v>44</v>
      </c>
      <c r="E7" s="57" t="s">
        <v>61</v>
      </c>
      <c r="F7" s="25"/>
      <c r="G7" s="25"/>
      <c r="H7" s="28"/>
      <c r="I7" s="56" t="s">
        <v>62</v>
      </c>
      <c r="J7" s="57" t="s">
        <v>63</v>
      </c>
      <c r="K7" s="27"/>
      <c r="L7" s="64" t="s">
        <v>59</v>
      </c>
      <c r="M7" s="27"/>
      <c r="N7" s="27"/>
      <c r="O7" s="27"/>
      <c r="P7" s="62">
        <v>1974000</v>
      </c>
      <c r="Q7" s="67" t="s">
        <v>64</v>
      </c>
      <c r="R7" s="27"/>
      <c r="S7" s="27"/>
      <c r="T7" s="27"/>
      <c r="U7" s="27"/>
      <c r="V7" s="27"/>
      <c r="W7" s="25" t="s">
        <v>49</v>
      </c>
    </row>
    <row r="8" spans="1:23" ht="15" x14ac:dyDescent="0.3">
      <c r="A8" s="26">
        <v>7</v>
      </c>
      <c r="B8" s="25"/>
      <c r="C8" s="39"/>
      <c r="D8" s="56" t="s">
        <v>44</v>
      </c>
      <c r="E8" s="57" t="s">
        <v>61</v>
      </c>
      <c r="F8" s="25"/>
      <c r="G8" s="25"/>
      <c r="H8" s="28"/>
      <c r="I8" s="56" t="s">
        <v>65</v>
      </c>
      <c r="J8" s="57" t="s">
        <v>66</v>
      </c>
      <c r="K8" s="27"/>
      <c r="L8" s="64" t="s">
        <v>59</v>
      </c>
      <c r="M8" s="27"/>
      <c r="N8" s="27"/>
      <c r="O8" s="27"/>
      <c r="P8" s="62">
        <v>31020</v>
      </c>
      <c r="Q8" s="67" t="s">
        <v>64</v>
      </c>
      <c r="R8" s="27"/>
      <c r="S8" s="27"/>
      <c r="T8" s="27"/>
      <c r="U8" s="27"/>
      <c r="V8" s="27"/>
      <c r="W8" s="25" t="s">
        <v>49</v>
      </c>
    </row>
    <row r="9" spans="1:23" ht="28.8" x14ac:dyDescent="0.3">
      <c r="A9" s="26">
        <v>8</v>
      </c>
      <c r="B9" s="25"/>
      <c r="C9" s="39"/>
      <c r="D9" s="56" t="s">
        <v>44</v>
      </c>
      <c r="E9" s="57" t="s">
        <v>45</v>
      </c>
      <c r="F9" s="25"/>
      <c r="G9" s="25"/>
      <c r="H9" s="28"/>
      <c r="I9" s="56" t="s">
        <v>67</v>
      </c>
      <c r="J9" s="58" t="s">
        <v>68</v>
      </c>
      <c r="K9" s="27"/>
      <c r="L9" s="64" t="s">
        <v>69</v>
      </c>
      <c r="M9" s="27"/>
      <c r="N9" s="27"/>
      <c r="O9" s="27"/>
      <c r="P9" s="62">
        <v>150000</v>
      </c>
      <c r="Q9" s="67" t="s">
        <v>70</v>
      </c>
      <c r="R9" s="27"/>
      <c r="S9" s="27"/>
      <c r="T9" s="27"/>
      <c r="U9" s="27"/>
      <c r="V9" s="27"/>
      <c r="W9" s="25" t="s">
        <v>49</v>
      </c>
    </row>
    <row r="10" spans="1:23" ht="28.8" x14ac:dyDescent="0.3">
      <c r="A10" s="26">
        <v>9</v>
      </c>
      <c r="B10" s="25"/>
      <c r="C10" s="39"/>
      <c r="D10" s="56" t="s">
        <v>44</v>
      </c>
      <c r="E10" s="57" t="s">
        <v>45</v>
      </c>
      <c r="F10" s="25"/>
      <c r="G10" s="25"/>
      <c r="H10" s="28"/>
      <c r="I10" s="56" t="s">
        <v>71</v>
      </c>
      <c r="J10" s="58" t="s">
        <v>72</v>
      </c>
      <c r="K10" s="27"/>
      <c r="L10" s="64" t="s">
        <v>73</v>
      </c>
      <c r="M10" s="27"/>
      <c r="N10" s="27"/>
      <c r="O10" s="27"/>
      <c r="P10" s="62">
        <v>52800</v>
      </c>
      <c r="Q10" s="66">
        <v>46029</v>
      </c>
      <c r="R10" s="27"/>
      <c r="S10" s="27"/>
      <c r="T10" s="27"/>
      <c r="U10" s="27"/>
      <c r="V10" s="27"/>
      <c r="W10" s="25" t="s">
        <v>49</v>
      </c>
    </row>
    <row r="11" spans="1:23" ht="28.8" x14ac:dyDescent="0.3">
      <c r="A11" s="26">
        <v>10</v>
      </c>
      <c r="B11" s="25"/>
      <c r="C11" s="39"/>
      <c r="D11" s="56" t="s">
        <v>44</v>
      </c>
      <c r="E11" s="57" t="s">
        <v>45</v>
      </c>
      <c r="F11" s="25"/>
      <c r="G11" s="25"/>
      <c r="H11" s="28"/>
      <c r="I11" s="56" t="s">
        <v>67</v>
      </c>
      <c r="J11" s="58" t="s">
        <v>74</v>
      </c>
      <c r="K11" s="27"/>
      <c r="L11" s="64" t="s">
        <v>75</v>
      </c>
      <c r="M11" s="27"/>
      <c r="N11" s="27"/>
      <c r="O11" s="27"/>
      <c r="P11" s="62">
        <v>406000</v>
      </c>
      <c r="Q11" s="67" t="s">
        <v>76</v>
      </c>
      <c r="R11" s="27"/>
      <c r="S11" s="27"/>
      <c r="T11" s="27"/>
      <c r="U11" s="27"/>
      <c r="V11" s="27"/>
      <c r="W11" s="25" t="s">
        <v>49</v>
      </c>
    </row>
    <row r="12" spans="1:23" ht="15" x14ac:dyDescent="0.3">
      <c r="A12" s="26">
        <v>11</v>
      </c>
      <c r="B12" s="25"/>
      <c r="C12" s="39"/>
      <c r="D12" s="56" t="s">
        <v>44</v>
      </c>
      <c r="E12" s="57" t="s">
        <v>45</v>
      </c>
      <c r="F12" s="25"/>
      <c r="G12" s="25"/>
      <c r="H12" s="28"/>
      <c r="I12" s="56" t="s">
        <v>77</v>
      </c>
      <c r="J12" s="57" t="s">
        <v>78</v>
      </c>
      <c r="K12" s="27"/>
      <c r="L12" s="64">
        <v>1905260062</v>
      </c>
      <c r="M12" s="27"/>
      <c r="N12" s="27"/>
      <c r="O12" s="27"/>
      <c r="P12" s="62">
        <v>5728052</v>
      </c>
      <c r="Q12" s="67" t="s">
        <v>79</v>
      </c>
      <c r="R12" s="27"/>
      <c r="S12" s="27"/>
      <c r="T12" s="27"/>
      <c r="U12" s="27"/>
      <c r="V12" s="27"/>
      <c r="W12" s="25" t="s">
        <v>49</v>
      </c>
    </row>
    <row r="13" spans="1:23" ht="15" x14ac:dyDescent="0.3">
      <c r="A13" s="26">
        <v>12</v>
      </c>
      <c r="B13" s="25"/>
      <c r="C13" s="39"/>
      <c r="D13" s="56" t="s">
        <v>44</v>
      </c>
      <c r="E13" s="57" t="s">
        <v>45</v>
      </c>
      <c r="F13" s="25"/>
      <c r="G13" s="25"/>
      <c r="H13" s="28"/>
      <c r="I13" s="56" t="s">
        <v>77</v>
      </c>
      <c r="J13" s="57" t="s">
        <v>80</v>
      </c>
      <c r="K13" s="27"/>
      <c r="L13" s="64">
        <v>1905260061</v>
      </c>
      <c r="M13" s="27"/>
      <c r="N13" s="27"/>
      <c r="O13" s="27"/>
      <c r="P13" s="62">
        <v>2694884</v>
      </c>
      <c r="Q13" s="67" t="s">
        <v>79</v>
      </c>
      <c r="R13" s="27"/>
      <c r="S13" s="27"/>
      <c r="T13" s="27"/>
      <c r="U13" s="27"/>
      <c r="V13" s="27"/>
      <c r="W13" s="25" t="s">
        <v>49</v>
      </c>
    </row>
    <row r="14" spans="1:23" ht="28.8" x14ac:dyDescent="0.3">
      <c r="A14" s="26">
        <v>13</v>
      </c>
      <c r="B14" s="25"/>
      <c r="C14" s="39"/>
      <c r="D14" s="56" t="s">
        <v>44</v>
      </c>
      <c r="E14" s="57" t="s">
        <v>45</v>
      </c>
      <c r="F14" s="25"/>
      <c r="G14" s="25"/>
      <c r="H14" s="28"/>
      <c r="I14" s="56" t="s">
        <v>67</v>
      </c>
      <c r="J14" s="58" t="s">
        <v>74</v>
      </c>
      <c r="K14" s="27"/>
      <c r="L14" s="64" t="s">
        <v>81</v>
      </c>
      <c r="M14" s="27"/>
      <c r="N14" s="27"/>
      <c r="O14" s="27"/>
      <c r="P14" s="62">
        <v>232000</v>
      </c>
      <c r="Q14" s="67" t="s">
        <v>82</v>
      </c>
      <c r="R14" s="27"/>
      <c r="S14" s="27"/>
      <c r="T14" s="27"/>
      <c r="U14" s="27"/>
      <c r="V14" s="27"/>
      <c r="W14" s="25" t="s">
        <v>49</v>
      </c>
    </row>
    <row r="15" spans="1:23" ht="15" x14ac:dyDescent="0.3">
      <c r="A15" s="26">
        <v>14</v>
      </c>
      <c r="B15" s="25"/>
      <c r="C15" s="39"/>
      <c r="D15" s="56" t="s">
        <v>44</v>
      </c>
      <c r="E15" s="57" t="s">
        <v>45</v>
      </c>
      <c r="F15" s="25"/>
      <c r="G15" s="25"/>
      <c r="H15" s="28"/>
      <c r="I15" s="56" t="s">
        <v>46</v>
      </c>
      <c r="J15" s="57" t="s">
        <v>83</v>
      </c>
      <c r="K15" s="27"/>
      <c r="L15" s="64" t="s">
        <v>84</v>
      </c>
      <c r="M15" s="27"/>
      <c r="N15" s="27"/>
      <c r="O15" s="27"/>
      <c r="P15" s="62">
        <v>319349</v>
      </c>
      <c r="Q15" s="66">
        <v>46364</v>
      </c>
      <c r="R15" s="27"/>
      <c r="S15" s="27"/>
      <c r="T15" s="27"/>
      <c r="U15" s="27"/>
      <c r="V15" s="27"/>
      <c r="W15" s="25" t="s">
        <v>49</v>
      </c>
    </row>
    <row r="16" spans="1:23" ht="15" x14ac:dyDescent="0.3">
      <c r="A16" s="26">
        <v>15</v>
      </c>
      <c r="B16" s="25"/>
      <c r="C16" s="39"/>
      <c r="D16" s="56" t="s">
        <v>44</v>
      </c>
      <c r="E16" s="57" t="s">
        <v>45</v>
      </c>
      <c r="F16" s="25"/>
      <c r="G16" s="25"/>
      <c r="H16" s="28"/>
      <c r="I16" s="56" t="s">
        <v>85</v>
      </c>
      <c r="J16" s="57" t="s">
        <v>86</v>
      </c>
      <c r="K16" s="27"/>
      <c r="L16" s="64" t="s">
        <v>87</v>
      </c>
      <c r="M16" s="27"/>
      <c r="N16" s="27"/>
      <c r="O16" s="27"/>
      <c r="P16" s="62">
        <v>25000</v>
      </c>
      <c r="Q16" s="67" t="s">
        <v>88</v>
      </c>
      <c r="R16" s="27"/>
      <c r="S16" s="27"/>
      <c r="T16" s="27"/>
      <c r="U16" s="27"/>
      <c r="V16" s="27"/>
      <c r="W16" s="25" t="s">
        <v>49</v>
      </c>
    </row>
    <row r="17" spans="1:23" ht="15" x14ac:dyDescent="0.3">
      <c r="A17" s="26">
        <v>16</v>
      </c>
      <c r="B17" s="25"/>
      <c r="C17" s="39"/>
      <c r="D17" s="56" t="s">
        <v>44</v>
      </c>
      <c r="E17" s="57" t="s">
        <v>45</v>
      </c>
      <c r="F17" s="25"/>
      <c r="G17" s="25"/>
      <c r="H17" s="28"/>
      <c r="I17" s="56" t="s">
        <v>89</v>
      </c>
      <c r="J17" s="57" t="s">
        <v>90</v>
      </c>
      <c r="K17" s="27"/>
      <c r="L17" s="64" t="s">
        <v>91</v>
      </c>
      <c r="M17" s="27"/>
      <c r="N17" s="27"/>
      <c r="O17" s="27"/>
      <c r="P17" s="62">
        <v>6883529</v>
      </c>
      <c r="Q17" s="67" t="s">
        <v>92</v>
      </c>
      <c r="R17" s="27"/>
      <c r="S17" s="27"/>
      <c r="T17" s="27"/>
      <c r="U17" s="27"/>
      <c r="V17" s="27"/>
      <c r="W17" s="25" t="s">
        <v>49</v>
      </c>
    </row>
    <row r="18" spans="1:23" ht="15" x14ac:dyDescent="0.3">
      <c r="A18" s="26">
        <v>17</v>
      </c>
      <c r="B18" s="35"/>
      <c r="C18" s="40"/>
      <c r="D18" s="56" t="s">
        <v>44</v>
      </c>
      <c r="E18" s="57" t="s">
        <v>61</v>
      </c>
      <c r="F18" s="35"/>
      <c r="G18" s="35"/>
      <c r="H18" s="49"/>
      <c r="I18" s="56" t="s">
        <v>93</v>
      </c>
      <c r="J18" s="57" t="s">
        <v>94</v>
      </c>
      <c r="K18" s="36"/>
      <c r="L18" s="64">
        <v>29245</v>
      </c>
      <c r="M18" s="36"/>
      <c r="N18" s="36"/>
      <c r="O18" s="36"/>
      <c r="P18" s="62">
        <v>19798285</v>
      </c>
      <c r="Q18" s="66">
        <v>46243</v>
      </c>
      <c r="R18" s="36"/>
      <c r="S18" s="36"/>
      <c r="T18" s="36"/>
      <c r="U18" s="36"/>
      <c r="V18" s="36"/>
      <c r="W18" s="25" t="s">
        <v>49</v>
      </c>
    </row>
    <row r="19" spans="1:23" ht="15" x14ac:dyDescent="0.3">
      <c r="A19" s="26">
        <v>18</v>
      </c>
      <c r="B19" s="25"/>
      <c r="C19" s="39"/>
      <c r="D19" s="56" t="s">
        <v>44</v>
      </c>
      <c r="E19" s="57" t="s">
        <v>45</v>
      </c>
      <c r="F19" s="25"/>
      <c r="G19" s="25"/>
      <c r="H19" s="28"/>
      <c r="I19" s="56" t="s">
        <v>95</v>
      </c>
      <c r="J19" s="57" t="s">
        <v>96</v>
      </c>
      <c r="K19" s="27"/>
      <c r="L19" s="64">
        <v>1905260231</v>
      </c>
      <c r="M19" s="27"/>
      <c r="N19" s="27"/>
      <c r="O19" s="27"/>
      <c r="P19" s="62">
        <v>560500</v>
      </c>
      <c r="Q19" s="66">
        <v>46274</v>
      </c>
      <c r="R19" s="27"/>
      <c r="S19" s="27"/>
      <c r="T19" s="27"/>
      <c r="U19" s="27"/>
      <c r="V19" s="27"/>
      <c r="W19" s="25" t="s">
        <v>49</v>
      </c>
    </row>
    <row r="20" spans="1:23" ht="15" x14ac:dyDescent="0.3">
      <c r="A20" s="26">
        <v>19</v>
      </c>
      <c r="B20" s="25"/>
      <c r="C20" s="39"/>
      <c r="D20" s="56" t="s">
        <v>44</v>
      </c>
      <c r="E20" s="57" t="s">
        <v>45</v>
      </c>
      <c r="F20" s="25"/>
      <c r="G20" s="25"/>
      <c r="H20" s="28"/>
      <c r="I20" s="56" t="s">
        <v>97</v>
      </c>
      <c r="J20" s="57" t="s">
        <v>98</v>
      </c>
      <c r="K20" s="27"/>
      <c r="L20" s="64" t="s">
        <v>99</v>
      </c>
      <c r="M20" s="27"/>
      <c r="N20" s="27"/>
      <c r="O20" s="27"/>
      <c r="P20" s="62">
        <v>1160000</v>
      </c>
      <c r="Q20" s="66">
        <v>46304</v>
      </c>
      <c r="R20" s="27"/>
      <c r="S20" s="27"/>
      <c r="T20" s="27"/>
      <c r="U20" s="27"/>
      <c r="V20" s="27"/>
      <c r="W20" s="25" t="s">
        <v>49</v>
      </c>
    </row>
    <row r="21" spans="1:23" ht="18" customHeight="1" x14ac:dyDescent="0.3">
      <c r="A21" s="26">
        <v>20</v>
      </c>
      <c r="B21" s="25"/>
      <c r="C21" s="39"/>
      <c r="D21" s="56" t="s">
        <v>44</v>
      </c>
      <c r="E21" s="57" t="s">
        <v>45</v>
      </c>
      <c r="F21" s="25"/>
      <c r="G21" s="25"/>
      <c r="H21" s="28"/>
      <c r="I21" s="56" t="s">
        <v>97</v>
      </c>
      <c r="J21" s="57" t="s">
        <v>100</v>
      </c>
      <c r="K21" s="27"/>
      <c r="L21" s="64" t="s">
        <v>101</v>
      </c>
      <c r="M21" s="27"/>
      <c r="N21" s="27"/>
      <c r="O21" s="27"/>
      <c r="P21" s="62">
        <v>232000</v>
      </c>
      <c r="Q21" s="66">
        <v>46304</v>
      </c>
      <c r="R21" s="27"/>
      <c r="S21" s="27"/>
      <c r="T21" s="27"/>
      <c r="U21" s="27"/>
      <c r="V21" s="27"/>
      <c r="W21" s="25" t="s">
        <v>49</v>
      </c>
    </row>
    <row r="22" spans="1:23" ht="18" customHeight="1" x14ac:dyDescent="0.3">
      <c r="A22" s="26">
        <v>21</v>
      </c>
      <c r="B22" s="25"/>
      <c r="C22" s="39"/>
      <c r="D22" s="56" t="s">
        <v>44</v>
      </c>
      <c r="E22" s="57" t="s">
        <v>45</v>
      </c>
      <c r="F22" s="25"/>
      <c r="G22" s="25"/>
      <c r="H22" s="28"/>
      <c r="I22" s="56" t="s">
        <v>102</v>
      </c>
      <c r="J22" s="57" t="s">
        <v>103</v>
      </c>
      <c r="K22" s="27"/>
      <c r="L22" s="64" t="s">
        <v>104</v>
      </c>
      <c r="M22" s="27"/>
      <c r="N22" s="27"/>
      <c r="O22" s="27"/>
      <c r="P22" s="62">
        <v>177000</v>
      </c>
      <c r="Q22" s="67" t="s">
        <v>105</v>
      </c>
      <c r="R22" s="27"/>
      <c r="S22" s="27"/>
      <c r="T22" s="27"/>
      <c r="U22" s="27"/>
      <c r="V22" s="27"/>
      <c r="W22" s="25" t="s">
        <v>49</v>
      </c>
    </row>
    <row r="23" spans="1:23" ht="15" x14ac:dyDescent="0.3">
      <c r="A23" s="26">
        <v>22</v>
      </c>
      <c r="B23" s="25"/>
      <c r="C23" s="39"/>
      <c r="D23" s="56" t="s">
        <v>44</v>
      </c>
      <c r="E23" s="57" t="s">
        <v>45</v>
      </c>
      <c r="F23" s="25"/>
      <c r="G23" s="25"/>
      <c r="H23" s="28"/>
      <c r="I23" s="56" t="s">
        <v>106</v>
      </c>
      <c r="J23" s="57" t="s">
        <v>107</v>
      </c>
      <c r="K23" s="27"/>
      <c r="L23" s="64" t="s">
        <v>108</v>
      </c>
      <c r="M23" s="27"/>
      <c r="N23" s="27"/>
      <c r="O23" s="27"/>
      <c r="P23" s="62">
        <v>1740000</v>
      </c>
      <c r="Q23" s="67" t="s">
        <v>109</v>
      </c>
      <c r="R23" s="27"/>
      <c r="S23" s="27"/>
      <c r="T23" s="27"/>
      <c r="U23" s="27"/>
      <c r="V23" s="27"/>
      <c r="W23" s="25" t="s">
        <v>49</v>
      </c>
    </row>
    <row r="24" spans="1:23" ht="15" x14ac:dyDescent="0.3">
      <c r="A24" s="26">
        <v>23</v>
      </c>
      <c r="B24" s="25"/>
      <c r="C24" s="39"/>
      <c r="D24" s="56" t="s">
        <v>44</v>
      </c>
      <c r="E24" s="57" t="s">
        <v>45</v>
      </c>
      <c r="F24" s="25"/>
      <c r="G24" s="25"/>
      <c r="H24" s="28"/>
      <c r="I24" s="56" t="s">
        <v>67</v>
      </c>
      <c r="J24" s="57" t="s">
        <v>110</v>
      </c>
      <c r="K24" s="27"/>
      <c r="L24" s="72" t="s">
        <v>111</v>
      </c>
      <c r="M24" s="27"/>
      <c r="N24" s="27"/>
      <c r="O24" s="27"/>
      <c r="P24" s="73">
        <v>6960</v>
      </c>
      <c r="Q24" s="75" t="s">
        <v>112</v>
      </c>
      <c r="R24" s="27"/>
      <c r="S24" s="27"/>
      <c r="T24" s="27"/>
      <c r="U24" s="27"/>
      <c r="V24" s="27"/>
      <c r="W24" s="25" t="s">
        <v>49</v>
      </c>
    </row>
    <row r="25" spans="1:23" ht="15" x14ac:dyDescent="0.3">
      <c r="A25" s="26">
        <v>24</v>
      </c>
      <c r="B25" s="25"/>
      <c r="C25" s="39"/>
      <c r="D25" s="56" t="s">
        <v>44</v>
      </c>
      <c r="E25" s="57" t="s">
        <v>45</v>
      </c>
      <c r="F25" s="25"/>
      <c r="G25" s="25"/>
      <c r="H25" s="28"/>
      <c r="I25" s="33" t="s">
        <v>113</v>
      </c>
      <c r="J25" s="34" t="s">
        <v>114</v>
      </c>
      <c r="K25" s="27"/>
      <c r="L25" s="72" t="s">
        <v>115</v>
      </c>
      <c r="M25" s="27"/>
      <c r="N25" s="27"/>
      <c r="O25" s="27"/>
      <c r="P25" s="73">
        <v>419179</v>
      </c>
      <c r="Q25" s="67" t="s">
        <v>116</v>
      </c>
      <c r="R25" s="27"/>
      <c r="S25" s="27"/>
      <c r="T25" s="27"/>
      <c r="U25" s="27"/>
      <c r="V25" s="27"/>
      <c r="W25" s="25" t="s">
        <v>49</v>
      </c>
    </row>
    <row r="26" spans="1:23" ht="15" x14ac:dyDescent="0.3">
      <c r="A26" s="26">
        <v>25</v>
      </c>
      <c r="B26" s="25"/>
      <c r="C26" s="39"/>
      <c r="D26" s="56" t="s">
        <v>44</v>
      </c>
      <c r="E26" s="57" t="s">
        <v>45</v>
      </c>
      <c r="F26" s="25"/>
      <c r="G26" s="25"/>
      <c r="H26" s="28"/>
      <c r="I26" s="56" t="s">
        <v>95</v>
      </c>
      <c r="J26" s="57" t="s">
        <v>117</v>
      </c>
      <c r="K26" s="27"/>
      <c r="L26" s="64">
        <v>1905260308</v>
      </c>
      <c r="M26" s="27"/>
      <c r="N26" s="27"/>
      <c r="O26" s="27"/>
      <c r="P26" s="62">
        <v>1205606</v>
      </c>
      <c r="Q26" s="67" t="s">
        <v>116</v>
      </c>
      <c r="R26" s="27"/>
      <c r="S26" s="27"/>
      <c r="T26" s="27"/>
      <c r="U26" s="27"/>
      <c r="V26" s="27"/>
      <c r="W26" s="25" t="s">
        <v>49</v>
      </c>
    </row>
    <row r="27" spans="1:23" ht="15" x14ac:dyDescent="0.3">
      <c r="A27" s="26">
        <v>26</v>
      </c>
      <c r="B27" s="25"/>
      <c r="C27" s="39"/>
      <c r="D27" s="56" t="s">
        <v>44</v>
      </c>
      <c r="E27" s="57" t="s">
        <v>45</v>
      </c>
      <c r="F27" s="25"/>
      <c r="G27" s="25"/>
      <c r="H27" s="28"/>
      <c r="I27" s="56" t="s">
        <v>95</v>
      </c>
      <c r="J27" s="57" t="s">
        <v>117</v>
      </c>
      <c r="K27" s="27"/>
      <c r="L27" s="64">
        <v>1905260305</v>
      </c>
      <c r="M27" s="27"/>
      <c r="N27" s="27"/>
      <c r="O27" s="27"/>
      <c r="P27" s="62">
        <v>32764116</v>
      </c>
      <c r="Q27" s="67" t="s">
        <v>116</v>
      </c>
      <c r="R27" s="27"/>
      <c r="S27" s="27"/>
      <c r="T27" s="27"/>
      <c r="U27" s="27"/>
      <c r="V27" s="27"/>
      <c r="W27" s="25" t="s">
        <v>49</v>
      </c>
    </row>
    <row r="28" spans="1:23" ht="15" x14ac:dyDescent="0.3">
      <c r="A28" s="26">
        <v>27</v>
      </c>
      <c r="B28" s="25"/>
      <c r="C28" s="39"/>
      <c r="D28" s="56" t="s">
        <v>44</v>
      </c>
      <c r="E28" s="57" t="s">
        <v>45</v>
      </c>
      <c r="F28" s="25"/>
      <c r="G28" s="25"/>
      <c r="H28" s="28"/>
      <c r="I28" s="56" t="s">
        <v>95</v>
      </c>
      <c r="J28" s="57" t="s">
        <v>96</v>
      </c>
      <c r="K28" s="27"/>
      <c r="L28" s="64">
        <v>1905260306</v>
      </c>
      <c r="M28" s="27"/>
      <c r="N28" s="27"/>
      <c r="O28" s="27"/>
      <c r="P28" s="62">
        <v>63826864</v>
      </c>
      <c r="Q28" s="67" t="s">
        <v>116</v>
      </c>
      <c r="R28" s="27"/>
      <c r="S28" s="27"/>
      <c r="T28" s="27"/>
      <c r="U28" s="27"/>
      <c r="V28" s="27"/>
      <c r="W28" s="25" t="s">
        <v>49</v>
      </c>
    </row>
    <row r="29" spans="1:23" ht="15" x14ac:dyDescent="0.3">
      <c r="A29" s="26">
        <v>28</v>
      </c>
      <c r="B29" s="35"/>
      <c r="C29" s="40"/>
      <c r="D29" s="56" t="s">
        <v>44</v>
      </c>
      <c r="E29" s="57" t="s">
        <v>45</v>
      </c>
      <c r="F29" s="35"/>
      <c r="G29" s="35"/>
      <c r="H29" s="49"/>
      <c r="I29" s="56" t="s">
        <v>95</v>
      </c>
      <c r="J29" s="57" t="s">
        <v>96</v>
      </c>
      <c r="K29" s="36"/>
      <c r="L29" s="64">
        <v>1905260307</v>
      </c>
      <c r="M29" s="36"/>
      <c r="N29" s="36"/>
      <c r="O29" s="36"/>
      <c r="P29" s="62">
        <v>7637403</v>
      </c>
      <c r="Q29" s="67" t="s">
        <v>116</v>
      </c>
      <c r="R29" s="36"/>
      <c r="S29" s="36"/>
      <c r="T29" s="36"/>
      <c r="U29" s="36"/>
      <c r="V29" s="36"/>
      <c r="W29" s="25" t="s">
        <v>49</v>
      </c>
    </row>
    <row r="30" spans="1:23" ht="15" x14ac:dyDescent="0.3">
      <c r="A30" s="26">
        <v>29</v>
      </c>
      <c r="B30" s="25"/>
      <c r="C30" s="39"/>
      <c r="D30" s="56" t="s">
        <v>44</v>
      </c>
      <c r="E30" s="57" t="s">
        <v>45</v>
      </c>
      <c r="F30" s="25"/>
      <c r="G30" s="25"/>
      <c r="H30" s="28"/>
      <c r="I30" s="56" t="s">
        <v>118</v>
      </c>
      <c r="J30" s="57" t="s">
        <v>119</v>
      </c>
      <c r="K30" s="27"/>
      <c r="L30" s="64">
        <v>5910260619</v>
      </c>
      <c r="M30" s="27"/>
      <c r="N30" s="27"/>
      <c r="O30" s="27"/>
      <c r="P30" s="62">
        <v>19797238</v>
      </c>
      <c r="Q30" s="67" t="s">
        <v>120</v>
      </c>
      <c r="R30" s="27"/>
      <c r="S30" s="27"/>
      <c r="T30" s="27"/>
      <c r="U30" s="27"/>
      <c r="V30" s="27"/>
      <c r="W30" s="25" t="s">
        <v>49</v>
      </c>
    </row>
    <row r="31" spans="1:23" ht="15" x14ac:dyDescent="0.3">
      <c r="A31" s="26">
        <v>30</v>
      </c>
      <c r="B31" s="25"/>
      <c r="C31" s="39"/>
      <c r="D31" s="33" t="s">
        <v>44</v>
      </c>
      <c r="E31" s="34" t="s">
        <v>45</v>
      </c>
      <c r="F31" s="25"/>
      <c r="G31" s="25"/>
      <c r="H31" s="28"/>
      <c r="I31" s="33" t="s">
        <v>121</v>
      </c>
      <c r="J31" s="59" t="s">
        <v>122</v>
      </c>
      <c r="K31" s="27"/>
      <c r="L31" s="63" t="s">
        <v>123</v>
      </c>
      <c r="M31" s="27"/>
      <c r="N31" s="27"/>
      <c r="O31" s="27"/>
      <c r="P31" s="41">
        <v>8260</v>
      </c>
      <c r="Q31" s="70" t="s">
        <v>124</v>
      </c>
      <c r="R31" s="27"/>
      <c r="S31" s="27"/>
      <c r="T31" s="27"/>
      <c r="U31" s="27"/>
      <c r="V31" s="27"/>
      <c r="W31" s="25" t="s">
        <v>49</v>
      </c>
    </row>
    <row r="32" spans="1:23" ht="15" x14ac:dyDescent="0.3">
      <c r="A32" s="26">
        <v>31</v>
      </c>
      <c r="B32" s="25"/>
      <c r="C32" s="39"/>
      <c r="D32" s="56" t="s">
        <v>125</v>
      </c>
      <c r="E32" s="57" t="s">
        <v>45</v>
      </c>
      <c r="F32" s="25"/>
      <c r="G32" s="25"/>
      <c r="H32" s="28"/>
      <c r="I32" s="56" t="s">
        <v>126</v>
      </c>
      <c r="J32" s="59" t="s">
        <v>127</v>
      </c>
      <c r="K32" s="27"/>
      <c r="L32" s="64" t="s">
        <v>59</v>
      </c>
      <c r="M32" s="27"/>
      <c r="N32" s="27"/>
      <c r="O32" s="27"/>
      <c r="P32" s="62">
        <v>151200</v>
      </c>
      <c r="Q32" s="67" t="s">
        <v>124</v>
      </c>
      <c r="R32" s="27"/>
      <c r="S32" s="27"/>
      <c r="T32" s="27"/>
      <c r="U32" s="27"/>
      <c r="V32" s="27"/>
      <c r="W32" s="25" t="s">
        <v>49</v>
      </c>
    </row>
    <row r="33" spans="1:23" ht="15" x14ac:dyDescent="0.3">
      <c r="A33" s="26">
        <v>32</v>
      </c>
      <c r="B33" s="25"/>
      <c r="C33" s="39"/>
      <c r="D33" s="33" t="s">
        <v>128</v>
      </c>
      <c r="E33" s="34" t="s">
        <v>45</v>
      </c>
      <c r="F33" s="25"/>
      <c r="G33" s="25"/>
      <c r="H33" s="28"/>
      <c r="I33" s="33" t="s">
        <v>129</v>
      </c>
      <c r="J33" s="59" t="s">
        <v>130</v>
      </c>
      <c r="K33" s="27"/>
      <c r="L33" s="33" t="s">
        <v>131</v>
      </c>
      <c r="M33" s="27"/>
      <c r="N33" s="27"/>
      <c r="O33" s="27"/>
      <c r="P33" s="41">
        <v>20500</v>
      </c>
      <c r="Q33" s="67" t="s">
        <v>124</v>
      </c>
      <c r="R33" s="27"/>
      <c r="S33" s="27"/>
      <c r="T33" s="27"/>
      <c r="U33" s="27"/>
      <c r="V33" s="27"/>
      <c r="W33" s="25" t="s">
        <v>49</v>
      </c>
    </row>
    <row r="34" spans="1:23" ht="15" x14ac:dyDescent="0.3">
      <c r="A34" s="26">
        <v>33</v>
      </c>
      <c r="B34" s="25"/>
      <c r="C34" s="39"/>
      <c r="D34" s="56" t="s">
        <v>128</v>
      </c>
      <c r="E34" s="57" t="s">
        <v>45</v>
      </c>
      <c r="F34" s="25"/>
      <c r="G34" s="25"/>
      <c r="H34" s="28"/>
      <c r="I34" s="56" t="s">
        <v>132</v>
      </c>
      <c r="J34" s="59" t="s">
        <v>130</v>
      </c>
      <c r="K34" s="27"/>
      <c r="L34" s="56" t="s">
        <v>59</v>
      </c>
      <c r="M34" s="27"/>
      <c r="N34" s="27"/>
      <c r="O34" s="27"/>
      <c r="P34" s="62">
        <v>45000</v>
      </c>
      <c r="Q34" s="67" t="s">
        <v>124</v>
      </c>
      <c r="R34" s="27"/>
      <c r="S34" s="27"/>
      <c r="T34" s="27"/>
      <c r="U34" s="27"/>
      <c r="V34" s="27"/>
      <c r="W34" s="25" t="s">
        <v>49</v>
      </c>
    </row>
    <row r="35" spans="1:23" ht="15" x14ac:dyDescent="0.3">
      <c r="A35" s="26">
        <v>34</v>
      </c>
      <c r="B35" s="25"/>
      <c r="C35" s="39"/>
      <c r="D35" s="56" t="s">
        <v>44</v>
      </c>
      <c r="E35" s="57" t="s">
        <v>45</v>
      </c>
      <c r="F35" s="25"/>
      <c r="G35" s="25"/>
      <c r="H35" s="28"/>
      <c r="I35" s="56" t="s">
        <v>133</v>
      </c>
      <c r="J35" s="59" t="s">
        <v>134</v>
      </c>
      <c r="K35" s="27"/>
      <c r="L35" s="77">
        <v>46291</v>
      </c>
      <c r="M35" s="27"/>
      <c r="N35" s="27"/>
      <c r="O35" s="27"/>
      <c r="P35" s="56">
        <v>697</v>
      </c>
      <c r="Q35" s="67" t="s">
        <v>124</v>
      </c>
      <c r="R35" s="27"/>
      <c r="S35" s="27"/>
      <c r="T35" s="27"/>
      <c r="U35" s="27"/>
      <c r="V35" s="27"/>
      <c r="W35" s="25" t="s">
        <v>49</v>
      </c>
    </row>
    <row r="36" spans="1:23" ht="15" x14ac:dyDescent="0.3">
      <c r="A36" s="26">
        <v>35</v>
      </c>
      <c r="B36" s="25"/>
      <c r="C36" s="39"/>
      <c r="D36" s="56" t="s">
        <v>44</v>
      </c>
      <c r="E36" s="57" t="s">
        <v>45</v>
      </c>
      <c r="F36" s="25"/>
      <c r="G36" s="25"/>
      <c r="H36" s="28"/>
      <c r="I36" s="56" t="s">
        <v>135</v>
      </c>
      <c r="J36" s="59" t="s">
        <v>134</v>
      </c>
      <c r="K36" s="27"/>
      <c r="L36" s="77">
        <v>46291</v>
      </c>
      <c r="M36" s="27"/>
      <c r="N36" s="27"/>
      <c r="O36" s="27"/>
      <c r="P36" s="62">
        <v>23930</v>
      </c>
      <c r="Q36" s="67" t="s">
        <v>124</v>
      </c>
      <c r="R36" s="27"/>
      <c r="S36" s="27"/>
      <c r="T36" s="27"/>
      <c r="U36" s="27"/>
      <c r="V36" s="27"/>
      <c r="W36" s="25" t="s">
        <v>49</v>
      </c>
    </row>
    <row r="37" spans="1:23" ht="15" x14ac:dyDescent="0.3">
      <c r="A37" s="26">
        <v>36</v>
      </c>
      <c r="B37" s="25"/>
      <c r="C37" s="39"/>
      <c r="D37" s="56" t="s">
        <v>44</v>
      </c>
      <c r="E37" s="57" t="s">
        <v>45</v>
      </c>
      <c r="F37" s="25"/>
      <c r="G37" s="25"/>
      <c r="H37" s="28"/>
      <c r="I37" s="56" t="s">
        <v>136</v>
      </c>
      <c r="J37" s="59" t="s">
        <v>134</v>
      </c>
      <c r="K37" s="27"/>
      <c r="L37" s="77">
        <v>46291</v>
      </c>
      <c r="M37" s="27"/>
      <c r="N37" s="27"/>
      <c r="O37" s="27"/>
      <c r="P37" s="62">
        <v>13518</v>
      </c>
      <c r="Q37" s="67" t="s">
        <v>124</v>
      </c>
      <c r="R37" s="27"/>
      <c r="S37" s="27"/>
      <c r="T37" s="27"/>
      <c r="U37" s="27"/>
      <c r="V37" s="27"/>
      <c r="W37" s="25" t="s">
        <v>49</v>
      </c>
    </row>
    <row r="38" spans="1:23" ht="15" x14ac:dyDescent="0.3">
      <c r="A38" s="26">
        <v>37</v>
      </c>
      <c r="B38" s="25"/>
      <c r="C38" s="39"/>
      <c r="D38" s="56" t="s">
        <v>44</v>
      </c>
      <c r="E38" s="57" t="s">
        <v>45</v>
      </c>
      <c r="F38" s="25"/>
      <c r="G38" s="25"/>
      <c r="H38" s="28"/>
      <c r="I38" s="60" t="s">
        <v>137</v>
      </c>
      <c r="J38" s="59" t="s">
        <v>134</v>
      </c>
      <c r="K38" s="27"/>
      <c r="L38" s="77">
        <v>46291</v>
      </c>
      <c r="M38" s="27"/>
      <c r="N38" s="27"/>
      <c r="O38" s="27"/>
      <c r="P38" s="73">
        <v>533</v>
      </c>
      <c r="Q38" s="67" t="s">
        <v>124</v>
      </c>
      <c r="R38" s="27"/>
      <c r="S38" s="27"/>
      <c r="T38" s="27"/>
      <c r="U38" s="27"/>
      <c r="V38" s="27"/>
      <c r="W38" s="25" t="s">
        <v>49</v>
      </c>
    </row>
    <row r="39" spans="1:23" ht="15" x14ac:dyDescent="0.3">
      <c r="A39" s="26">
        <v>38</v>
      </c>
      <c r="B39" s="25"/>
      <c r="C39" s="39"/>
      <c r="D39" s="56" t="s">
        <v>125</v>
      </c>
      <c r="E39" s="57" t="s">
        <v>45</v>
      </c>
      <c r="F39" s="25"/>
      <c r="G39" s="25"/>
      <c r="H39" s="28"/>
      <c r="I39" s="56" t="s">
        <v>138</v>
      </c>
      <c r="J39" s="34" t="s">
        <v>139</v>
      </c>
      <c r="K39" s="27"/>
      <c r="L39" s="65">
        <v>46291</v>
      </c>
      <c r="M39" s="27"/>
      <c r="N39" s="27"/>
      <c r="O39" s="27"/>
      <c r="P39" s="62">
        <v>987779</v>
      </c>
      <c r="Q39" s="67" t="s">
        <v>124</v>
      </c>
      <c r="R39" s="27"/>
      <c r="S39" s="27"/>
      <c r="T39" s="27"/>
      <c r="U39" s="27"/>
      <c r="V39" s="27"/>
      <c r="W39" s="25" t="s">
        <v>49</v>
      </c>
    </row>
    <row r="40" spans="1:23" ht="15" x14ac:dyDescent="0.3">
      <c r="A40" s="26">
        <v>39</v>
      </c>
      <c r="B40" s="25"/>
      <c r="C40" s="39"/>
      <c r="D40" s="56" t="s">
        <v>125</v>
      </c>
      <c r="E40" s="57" t="s">
        <v>45</v>
      </c>
      <c r="F40" s="25"/>
      <c r="G40" s="25"/>
      <c r="H40" s="28"/>
      <c r="I40" s="56" t="s">
        <v>140</v>
      </c>
      <c r="J40" s="57" t="s">
        <v>141</v>
      </c>
      <c r="K40" s="27"/>
      <c r="L40" s="65">
        <v>46291</v>
      </c>
      <c r="M40" s="27"/>
      <c r="N40" s="27"/>
      <c r="O40" s="27"/>
      <c r="P40" s="62">
        <v>5000</v>
      </c>
      <c r="Q40" s="67" t="s">
        <v>124</v>
      </c>
      <c r="R40" s="27"/>
      <c r="S40" s="27"/>
      <c r="T40" s="27"/>
      <c r="U40" s="27"/>
      <c r="V40" s="27"/>
      <c r="W40" s="25" t="s">
        <v>49</v>
      </c>
    </row>
    <row r="41" spans="1:23" ht="15" x14ac:dyDescent="0.3">
      <c r="A41" s="26">
        <v>40</v>
      </c>
      <c r="B41" s="25"/>
      <c r="C41" s="39"/>
      <c r="D41" s="56" t="s">
        <v>125</v>
      </c>
      <c r="E41" s="57" t="s">
        <v>45</v>
      </c>
      <c r="F41" s="25"/>
      <c r="G41" s="25"/>
      <c r="H41" s="28"/>
      <c r="I41" s="56" t="s">
        <v>142</v>
      </c>
      <c r="J41" s="57" t="s">
        <v>142</v>
      </c>
      <c r="K41" s="27"/>
      <c r="L41" s="64" t="s">
        <v>59</v>
      </c>
      <c r="M41" s="27"/>
      <c r="N41" s="27"/>
      <c r="O41" s="27"/>
      <c r="P41" s="62">
        <v>2200</v>
      </c>
      <c r="Q41" s="67" t="s">
        <v>124</v>
      </c>
      <c r="R41" s="27"/>
      <c r="S41" s="27"/>
      <c r="T41" s="27"/>
      <c r="U41" s="27"/>
      <c r="V41" s="27"/>
      <c r="W41" s="25" t="s">
        <v>49</v>
      </c>
    </row>
    <row r="42" spans="1:23" ht="15" x14ac:dyDescent="0.3">
      <c r="A42" s="26">
        <v>41</v>
      </c>
      <c r="B42" s="25"/>
      <c r="C42" s="39"/>
      <c r="D42" s="56" t="s">
        <v>125</v>
      </c>
      <c r="E42" s="57" t="s">
        <v>45</v>
      </c>
      <c r="F42" s="25"/>
      <c r="G42" s="25"/>
      <c r="H42" s="28"/>
      <c r="I42" s="56" t="s">
        <v>143</v>
      </c>
      <c r="J42" s="57" t="s">
        <v>143</v>
      </c>
      <c r="K42" s="27"/>
      <c r="L42" s="65">
        <v>46291</v>
      </c>
      <c r="M42" s="27"/>
      <c r="N42" s="27"/>
      <c r="O42" s="27"/>
      <c r="P42" s="62">
        <v>122537</v>
      </c>
      <c r="Q42" s="67" t="s">
        <v>124</v>
      </c>
      <c r="R42" s="27"/>
      <c r="S42" s="27"/>
      <c r="T42" s="27"/>
      <c r="U42" s="27"/>
      <c r="V42" s="27"/>
      <c r="W42" s="25" t="s">
        <v>49</v>
      </c>
    </row>
    <row r="43" spans="1:23" ht="15" x14ac:dyDescent="0.3">
      <c r="A43" s="26">
        <v>42</v>
      </c>
      <c r="B43" s="25"/>
      <c r="C43" s="39"/>
      <c r="D43" s="56" t="s">
        <v>125</v>
      </c>
      <c r="E43" s="57" t="s">
        <v>45</v>
      </c>
      <c r="F43" s="25"/>
      <c r="G43" s="25"/>
      <c r="H43" s="28"/>
      <c r="I43" s="56" t="s">
        <v>144</v>
      </c>
      <c r="J43" s="57" t="s">
        <v>144</v>
      </c>
      <c r="K43" s="27"/>
      <c r="L43" s="65">
        <v>46291</v>
      </c>
      <c r="M43" s="27"/>
      <c r="N43" s="27"/>
      <c r="O43" s="27"/>
      <c r="P43" s="56">
        <v>660</v>
      </c>
      <c r="Q43" s="67" t="s">
        <v>124</v>
      </c>
      <c r="R43" s="27"/>
      <c r="S43" s="27"/>
      <c r="T43" s="27"/>
      <c r="U43" s="27"/>
      <c r="V43" s="27"/>
      <c r="W43" s="25" t="s">
        <v>49</v>
      </c>
    </row>
    <row r="44" spans="1:23" ht="15" x14ac:dyDescent="0.3">
      <c r="A44" s="26">
        <v>43</v>
      </c>
      <c r="B44" s="25"/>
      <c r="C44" s="39"/>
      <c r="D44" s="56" t="s">
        <v>125</v>
      </c>
      <c r="E44" s="57" t="s">
        <v>45</v>
      </c>
      <c r="F44" s="25"/>
      <c r="G44" s="25"/>
      <c r="H44" s="28"/>
      <c r="I44" s="56" t="s">
        <v>145</v>
      </c>
      <c r="J44" s="57" t="s">
        <v>145</v>
      </c>
      <c r="K44" s="27"/>
      <c r="L44" s="64" t="s">
        <v>59</v>
      </c>
      <c r="M44" s="27"/>
      <c r="N44" s="27"/>
      <c r="O44" s="27"/>
      <c r="P44" s="62">
        <v>80111</v>
      </c>
      <c r="Q44" s="67" t="s">
        <v>124</v>
      </c>
      <c r="R44" s="27"/>
      <c r="S44" s="27"/>
      <c r="T44" s="27"/>
      <c r="U44" s="27"/>
      <c r="V44" s="27"/>
      <c r="W44" s="25" t="s">
        <v>49</v>
      </c>
    </row>
    <row r="45" spans="1:23" ht="15" x14ac:dyDescent="0.3">
      <c r="A45" s="26">
        <v>44</v>
      </c>
      <c r="B45" s="35"/>
      <c r="C45" s="40"/>
      <c r="D45" s="56" t="s">
        <v>125</v>
      </c>
      <c r="E45" s="57" t="s">
        <v>45</v>
      </c>
      <c r="F45" s="35"/>
      <c r="G45" s="35"/>
      <c r="H45" s="49"/>
      <c r="I45" s="56" t="s">
        <v>146</v>
      </c>
      <c r="J45" s="57" t="s">
        <v>147</v>
      </c>
      <c r="K45" s="36"/>
      <c r="L45" s="64" t="s">
        <v>148</v>
      </c>
      <c r="M45" s="36"/>
      <c r="N45" s="36"/>
      <c r="O45" s="36"/>
      <c r="P45" s="62">
        <v>14000</v>
      </c>
      <c r="Q45" s="67" t="s">
        <v>124</v>
      </c>
      <c r="R45" s="36"/>
      <c r="S45" s="36"/>
      <c r="T45" s="36"/>
      <c r="U45" s="36"/>
      <c r="V45" s="36"/>
      <c r="W45" s="25" t="s">
        <v>49</v>
      </c>
    </row>
    <row r="46" spans="1:23" ht="15" x14ac:dyDescent="0.3">
      <c r="A46" s="26">
        <v>45</v>
      </c>
      <c r="B46" s="25"/>
      <c r="C46" s="39"/>
      <c r="D46" s="56" t="s">
        <v>125</v>
      </c>
      <c r="E46" s="57" t="s">
        <v>45</v>
      </c>
      <c r="F46" s="25"/>
      <c r="G46" s="25"/>
      <c r="H46" s="28"/>
      <c r="I46" s="56" t="s">
        <v>149</v>
      </c>
      <c r="J46" s="57" t="s">
        <v>150</v>
      </c>
      <c r="K46" s="27"/>
      <c r="L46" s="64" t="s">
        <v>151</v>
      </c>
      <c r="M46" s="27"/>
      <c r="N46" s="27"/>
      <c r="O46" s="27"/>
      <c r="P46" s="56">
        <v>400</v>
      </c>
      <c r="Q46" s="67" t="s">
        <v>124</v>
      </c>
      <c r="R46" s="27"/>
      <c r="S46" s="27"/>
      <c r="T46" s="27"/>
      <c r="U46" s="27"/>
      <c r="V46" s="27"/>
      <c r="W46" s="25" t="s">
        <v>49</v>
      </c>
    </row>
    <row r="47" spans="1:23" ht="15" x14ac:dyDescent="0.3">
      <c r="A47" s="26">
        <v>46</v>
      </c>
      <c r="B47" s="25"/>
      <c r="C47" s="39"/>
      <c r="D47" s="56" t="s">
        <v>125</v>
      </c>
      <c r="E47" s="57" t="s">
        <v>45</v>
      </c>
      <c r="F47" s="25"/>
      <c r="G47" s="25"/>
      <c r="H47" s="28"/>
      <c r="I47" s="56" t="s">
        <v>146</v>
      </c>
      <c r="J47" s="57" t="s">
        <v>152</v>
      </c>
      <c r="K47" s="27"/>
      <c r="L47" s="64" t="s">
        <v>153</v>
      </c>
      <c r="M47" s="27"/>
      <c r="N47" s="27"/>
      <c r="O47" s="27"/>
      <c r="P47" s="62">
        <v>4500</v>
      </c>
      <c r="Q47" s="67" t="s">
        <v>124</v>
      </c>
      <c r="R47" s="27"/>
      <c r="S47" s="27"/>
      <c r="T47" s="27"/>
      <c r="U47" s="27"/>
      <c r="V47" s="27"/>
      <c r="W47" s="25" t="s">
        <v>49</v>
      </c>
    </row>
    <row r="48" spans="1:23" ht="15" x14ac:dyDescent="0.3">
      <c r="A48" s="26">
        <v>47</v>
      </c>
      <c r="B48" s="35"/>
      <c r="C48" s="40"/>
      <c r="D48" s="56" t="s">
        <v>125</v>
      </c>
      <c r="E48" s="57" t="s">
        <v>45</v>
      </c>
      <c r="F48" s="35"/>
      <c r="G48" s="35"/>
      <c r="H48" s="49"/>
      <c r="I48" s="56" t="s">
        <v>154</v>
      </c>
      <c r="J48" s="57" t="s">
        <v>155</v>
      </c>
      <c r="K48" s="36"/>
      <c r="L48" s="64" t="s">
        <v>156</v>
      </c>
      <c r="M48" s="36"/>
      <c r="N48" s="36"/>
      <c r="O48" s="36"/>
      <c r="P48" s="62">
        <v>16099</v>
      </c>
      <c r="Q48" s="67" t="s">
        <v>124</v>
      </c>
      <c r="R48" s="36"/>
      <c r="S48" s="36"/>
      <c r="T48" s="36"/>
      <c r="U48" s="36"/>
      <c r="V48" s="36"/>
      <c r="W48" s="25" t="s">
        <v>49</v>
      </c>
    </row>
    <row r="49" spans="1:23" ht="15" x14ac:dyDescent="0.3">
      <c r="A49" s="26">
        <v>48</v>
      </c>
      <c r="B49" s="25"/>
      <c r="C49" s="39"/>
      <c r="D49" s="56" t="s">
        <v>44</v>
      </c>
      <c r="E49" s="57" t="s">
        <v>45</v>
      </c>
      <c r="F49" s="25"/>
      <c r="G49" s="25"/>
      <c r="H49" s="28"/>
      <c r="I49" s="56" t="s">
        <v>157</v>
      </c>
      <c r="J49" s="57" t="s">
        <v>158</v>
      </c>
      <c r="K49" s="27"/>
      <c r="L49" s="64" t="s">
        <v>159</v>
      </c>
      <c r="M49" s="27"/>
      <c r="N49" s="27"/>
      <c r="O49" s="27"/>
      <c r="P49" s="62">
        <v>15000</v>
      </c>
      <c r="Q49" s="67" t="s">
        <v>124</v>
      </c>
      <c r="R49" s="27"/>
      <c r="S49" s="27"/>
      <c r="T49" s="27"/>
      <c r="U49" s="27"/>
      <c r="V49" s="27"/>
      <c r="W49" s="25" t="s">
        <v>49</v>
      </c>
    </row>
    <row r="50" spans="1:23" ht="15" x14ac:dyDescent="0.3">
      <c r="A50" s="26">
        <v>49</v>
      </c>
      <c r="B50" s="25"/>
      <c r="C50" s="39"/>
      <c r="D50" s="56" t="s">
        <v>44</v>
      </c>
      <c r="E50" s="57" t="s">
        <v>45</v>
      </c>
      <c r="F50" s="25"/>
      <c r="G50" s="25"/>
      <c r="H50" s="28"/>
      <c r="I50" s="56" t="s">
        <v>149</v>
      </c>
      <c r="J50" s="57" t="s">
        <v>160</v>
      </c>
      <c r="K50" s="27"/>
      <c r="L50" s="64" t="s">
        <v>161</v>
      </c>
      <c r="M50" s="27"/>
      <c r="N50" s="27"/>
      <c r="O50" s="27"/>
      <c r="P50" s="62">
        <v>24080</v>
      </c>
      <c r="Q50" s="67" t="s">
        <v>124</v>
      </c>
      <c r="R50" s="27"/>
      <c r="S50" s="27"/>
      <c r="T50" s="27"/>
      <c r="U50" s="27"/>
      <c r="V50" s="27"/>
      <c r="W50" s="25" t="s">
        <v>49</v>
      </c>
    </row>
    <row r="51" spans="1:23" ht="15" x14ac:dyDescent="0.3">
      <c r="A51" s="26">
        <v>50</v>
      </c>
      <c r="B51" s="25"/>
      <c r="C51" s="39"/>
      <c r="D51" s="56" t="s">
        <v>44</v>
      </c>
      <c r="E51" s="57" t="s">
        <v>45</v>
      </c>
      <c r="F51" s="25"/>
      <c r="G51" s="25"/>
      <c r="H51" s="28"/>
      <c r="I51" s="56" t="s">
        <v>149</v>
      </c>
      <c r="J51" s="57" t="s">
        <v>162</v>
      </c>
      <c r="K51" s="27"/>
      <c r="L51" s="64" t="s">
        <v>163</v>
      </c>
      <c r="M51" s="27"/>
      <c r="N51" s="27"/>
      <c r="O51" s="27"/>
      <c r="P51" s="62">
        <v>37590</v>
      </c>
      <c r="Q51" s="67" t="s">
        <v>124</v>
      </c>
      <c r="R51" s="27"/>
      <c r="S51" s="27"/>
      <c r="T51" s="27"/>
      <c r="U51" s="27"/>
      <c r="V51" s="27"/>
      <c r="W51" s="25" t="s">
        <v>49</v>
      </c>
    </row>
    <row r="52" spans="1:23" ht="15" x14ac:dyDescent="0.3">
      <c r="A52" s="26">
        <v>51</v>
      </c>
      <c r="B52" s="25"/>
      <c r="C52" s="39"/>
      <c r="D52" s="56" t="s">
        <v>44</v>
      </c>
      <c r="E52" s="57" t="s">
        <v>45</v>
      </c>
      <c r="F52" s="25"/>
      <c r="G52" s="25"/>
      <c r="H52" s="28"/>
      <c r="I52" s="56" t="s">
        <v>149</v>
      </c>
      <c r="J52" s="57" t="s">
        <v>164</v>
      </c>
      <c r="K52" s="27"/>
      <c r="L52" s="64" t="s">
        <v>165</v>
      </c>
      <c r="M52" s="27"/>
      <c r="N52" s="27"/>
      <c r="O52" s="27"/>
      <c r="P52" s="62">
        <v>24000</v>
      </c>
      <c r="Q52" s="67" t="s">
        <v>124</v>
      </c>
      <c r="R52" s="27"/>
      <c r="S52" s="27"/>
      <c r="T52" s="27"/>
      <c r="U52" s="27"/>
      <c r="V52" s="27"/>
      <c r="W52" s="25" t="s">
        <v>49</v>
      </c>
    </row>
    <row r="53" spans="1:23" ht="15" x14ac:dyDescent="0.3">
      <c r="A53" s="26">
        <v>52</v>
      </c>
      <c r="B53" s="25"/>
      <c r="C53" s="39"/>
      <c r="D53" s="56" t="s">
        <v>44</v>
      </c>
      <c r="E53" s="57" t="s">
        <v>45</v>
      </c>
      <c r="F53" s="25"/>
      <c r="G53" s="25"/>
      <c r="H53" s="28"/>
      <c r="I53" s="56" t="s">
        <v>146</v>
      </c>
      <c r="J53" s="57" t="s">
        <v>166</v>
      </c>
      <c r="K53" s="27"/>
      <c r="L53" s="64" t="s">
        <v>59</v>
      </c>
      <c r="M53" s="27"/>
      <c r="N53" s="27"/>
      <c r="O53" s="27"/>
      <c r="P53" s="62">
        <v>5000</v>
      </c>
      <c r="Q53" s="67" t="s">
        <v>124</v>
      </c>
      <c r="R53" s="27"/>
      <c r="S53" s="27"/>
      <c r="T53" s="27"/>
      <c r="U53" s="27"/>
      <c r="V53" s="27"/>
      <c r="W53" s="25" t="s">
        <v>49</v>
      </c>
    </row>
    <row r="54" spans="1:23" ht="15" x14ac:dyDescent="0.3">
      <c r="A54" s="26">
        <v>53</v>
      </c>
      <c r="B54" s="25"/>
      <c r="C54" s="39"/>
      <c r="D54" s="56" t="s">
        <v>44</v>
      </c>
      <c r="E54" s="57" t="s">
        <v>45</v>
      </c>
      <c r="F54" s="25"/>
      <c r="G54" s="25"/>
      <c r="H54" s="28"/>
      <c r="I54" s="56" t="s">
        <v>149</v>
      </c>
      <c r="J54" s="57" t="s">
        <v>167</v>
      </c>
      <c r="K54" s="27"/>
      <c r="L54" s="64" t="s">
        <v>59</v>
      </c>
      <c r="M54" s="27"/>
      <c r="N54" s="27"/>
      <c r="O54" s="27"/>
      <c r="P54" s="62">
        <v>5650</v>
      </c>
      <c r="Q54" s="67" t="s">
        <v>124</v>
      </c>
      <c r="R54" s="27"/>
      <c r="S54" s="27"/>
      <c r="T54" s="27"/>
      <c r="U54" s="27"/>
      <c r="V54" s="27"/>
      <c r="W54" s="25" t="s">
        <v>49</v>
      </c>
    </row>
    <row r="55" spans="1:23" ht="15" x14ac:dyDescent="0.3">
      <c r="A55" s="26">
        <v>54</v>
      </c>
      <c r="B55" s="25"/>
      <c r="C55" s="39"/>
      <c r="D55" s="56" t="s">
        <v>44</v>
      </c>
      <c r="E55" s="57" t="s">
        <v>45</v>
      </c>
      <c r="F55" s="25"/>
      <c r="G55" s="25"/>
      <c r="H55" s="28"/>
      <c r="I55" s="56" t="s">
        <v>149</v>
      </c>
      <c r="J55" s="57" t="s">
        <v>168</v>
      </c>
      <c r="K55" s="27"/>
      <c r="L55" s="64" t="s">
        <v>59</v>
      </c>
      <c r="M55" s="27"/>
      <c r="N55" s="27"/>
      <c r="O55" s="27"/>
      <c r="P55" s="62">
        <v>4120</v>
      </c>
      <c r="Q55" s="67" t="s">
        <v>124</v>
      </c>
      <c r="R55" s="27"/>
      <c r="S55" s="27"/>
      <c r="T55" s="27"/>
      <c r="U55" s="27"/>
      <c r="V55" s="27"/>
      <c r="W55" s="25" t="s">
        <v>49</v>
      </c>
    </row>
    <row r="56" spans="1:23" ht="15" x14ac:dyDescent="0.3">
      <c r="A56" s="26">
        <v>55</v>
      </c>
      <c r="B56" s="35"/>
      <c r="C56" s="40"/>
      <c r="D56" s="56" t="s">
        <v>44</v>
      </c>
      <c r="E56" s="57" t="s">
        <v>45</v>
      </c>
      <c r="F56" s="35"/>
      <c r="G56" s="35"/>
      <c r="H56" s="49"/>
      <c r="I56" s="56" t="s">
        <v>149</v>
      </c>
      <c r="J56" s="57" t="s">
        <v>169</v>
      </c>
      <c r="K56" s="36"/>
      <c r="L56" s="64" t="s">
        <v>170</v>
      </c>
      <c r="M56" s="36"/>
      <c r="N56" s="36"/>
      <c r="O56" s="36"/>
      <c r="P56" s="56">
        <v>120</v>
      </c>
      <c r="Q56" s="67" t="s">
        <v>124</v>
      </c>
      <c r="R56" s="36"/>
      <c r="S56" s="36"/>
      <c r="T56" s="36"/>
      <c r="U56" s="36"/>
      <c r="V56" s="36"/>
      <c r="W56" s="25" t="s">
        <v>49</v>
      </c>
    </row>
    <row r="57" spans="1:23" ht="15" x14ac:dyDescent="0.3">
      <c r="A57" s="26">
        <v>56</v>
      </c>
      <c r="B57" s="25"/>
      <c r="C57" s="39"/>
      <c r="D57" s="56" t="s">
        <v>44</v>
      </c>
      <c r="E57" s="57" t="s">
        <v>45</v>
      </c>
      <c r="F57" s="25"/>
      <c r="G57" s="25"/>
      <c r="H57" s="28"/>
      <c r="I57" s="56" t="s">
        <v>146</v>
      </c>
      <c r="J57" s="57" t="s">
        <v>171</v>
      </c>
      <c r="K57" s="27"/>
      <c r="L57" s="64" t="s">
        <v>172</v>
      </c>
      <c r="M57" s="27"/>
      <c r="N57" s="27"/>
      <c r="O57" s="27"/>
      <c r="P57" s="62">
        <v>18000</v>
      </c>
      <c r="Q57" s="67" t="s">
        <v>124</v>
      </c>
      <c r="R57" s="27"/>
      <c r="S57" s="27"/>
      <c r="T57" s="27"/>
      <c r="U57" s="27"/>
      <c r="V57" s="27"/>
      <c r="W57" s="25" t="s">
        <v>49</v>
      </c>
    </row>
    <row r="58" spans="1:23" ht="15" x14ac:dyDescent="0.3">
      <c r="A58" s="26">
        <v>57</v>
      </c>
      <c r="B58" s="25"/>
      <c r="C58" s="39"/>
      <c r="D58" s="56" t="s">
        <v>44</v>
      </c>
      <c r="E58" s="57" t="s">
        <v>45</v>
      </c>
      <c r="F58" s="25"/>
      <c r="G58" s="25"/>
      <c r="H58" s="28"/>
      <c r="I58" s="33" t="s">
        <v>149</v>
      </c>
      <c r="J58" s="34" t="s">
        <v>173</v>
      </c>
      <c r="K58" s="27"/>
      <c r="L58" s="72" t="s">
        <v>111</v>
      </c>
      <c r="M58" s="27"/>
      <c r="N58" s="27"/>
      <c r="O58" s="27"/>
      <c r="P58" s="73">
        <v>120</v>
      </c>
      <c r="Q58" s="67" t="s">
        <v>124</v>
      </c>
      <c r="R58" s="27"/>
      <c r="S58" s="27"/>
      <c r="T58" s="27"/>
      <c r="U58" s="27"/>
      <c r="V58" s="27"/>
      <c r="W58" s="25" t="s">
        <v>49</v>
      </c>
    </row>
    <row r="59" spans="1:23" ht="15" x14ac:dyDescent="0.3">
      <c r="A59" s="26">
        <v>58</v>
      </c>
      <c r="B59" s="25"/>
      <c r="C59" s="39"/>
      <c r="D59" s="33" t="s">
        <v>128</v>
      </c>
      <c r="E59" s="34" t="s">
        <v>45</v>
      </c>
      <c r="F59" s="25"/>
      <c r="G59" s="25"/>
      <c r="H59" s="28"/>
      <c r="I59" s="33" t="s">
        <v>146</v>
      </c>
      <c r="J59" s="34" t="s">
        <v>174</v>
      </c>
      <c r="K59" s="27"/>
      <c r="L59" s="33" t="s">
        <v>131</v>
      </c>
      <c r="M59" s="27"/>
      <c r="N59" s="27"/>
      <c r="O59" s="27"/>
      <c r="P59" s="73">
        <v>2000</v>
      </c>
      <c r="Q59" s="67" t="s">
        <v>124</v>
      </c>
      <c r="R59" s="27"/>
      <c r="S59" s="27"/>
      <c r="T59" s="27"/>
      <c r="U59" s="27"/>
      <c r="V59" s="27"/>
      <c r="W59" s="25" t="s">
        <v>49</v>
      </c>
    </row>
    <row r="60" spans="1:23" ht="15" x14ac:dyDescent="0.3">
      <c r="A60" s="26">
        <v>59</v>
      </c>
      <c r="B60" s="25"/>
      <c r="C60" s="39"/>
      <c r="D60" s="56" t="s">
        <v>128</v>
      </c>
      <c r="E60" s="57" t="s">
        <v>45</v>
      </c>
      <c r="F60" s="25"/>
      <c r="G60" s="25"/>
      <c r="H60" s="28"/>
      <c r="I60" s="56" t="s">
        <v>146</v>
      </c>
      <c r="J60" s="57" t="s">
        <v>175</v>
      </c>
      <c r="K60" s="27"/>
      <c r="L60" s="56" t="s">
        <v>59</v>
      </c>
      <c r="M60" s="27"/>
      <c r="N60" s="27"/>
      <c r="O60" s="27"/>
      <c r="P60" s="73">
        <v>5000</v>
      </c>
      <c r="Q60" s="67" t="s">
        <v>124</v>
      </c>
      <c r="R60" s="27"/>
      <c r="S60" s="27"/>
      <c r="T60" s="27"/>
      <c r="U60" s="27"/>
      <c r="V60" s="27"/>
      <c r="W60" s="25" t="s">
        <v>49</v>
      </c>
    </row>
    <row r="61" spans="1:23" ht="28.8" x14ac:dyDescent="0.3">
      <c r="A61" s="26">
        <v>60</v>
      </c>
      <c r="B61" s="25"/>
      <c r="C61" s="39"/>
      <c r="D61" s="56" t="s">
        <v>44</v>
      </c>
      <c r="E61" s="57" t="s">
        <v>45</v>
      </c>
      <c r="F61" s="25"/>
      <c r="G61" s="25"/>
      <c r="H61" s="28"/>
      <c r="I61" s="33" t="s">
        <v>176</v>
      </c>
      <c r="J61" s="74" t="s">
        <v>177</v>
      </c>
      <c r="K61" s="27"/>
      <c r="L61" s="72" t="s">
        <v>178</v>
      </c>
      <c r="M61" s="27"/>
      <c r="N61" s="27"/>
      <c r="O61" s="27"/>
      <c r="P61" s="73">
        <v>17700</v>
      </c>
      <c r="Q61" s="66">
        <v>46152</v>
      </c>
      <c r="R61" s="27"/>
      <c r="S61" s="27"/>
      <c r="T61" s="27"/>
      <c r="U61" s="27"/>
      <c r="V61" s="27"/>
      <c r="W61" s="25" t="s">
        <v>49</v>
      </c>
    </row>
    <row r="62" spans="1:23" ht="15" x14ac:dyDescent="0.3">
      <c r="A62" s="26">
        <v>61</v>
      </c>
      <c r="B62" s="25"/>
      <c r="C62" s="39"/>
      <c r="D62" s="56" t="s">
        <v>44</v>
      </c>
      <c r="E62" s="57" t="s">
        <v>45</v>
      </c>
      <c r="F62" s="25"/>
      <c r="G62" s="25"/>
      <c r="H62" s="28"/>
      <c r="I62" s="56" t="s">
        <v>102</v>
      </c>
      <c r="J62" s="57" t="s">
        <v>179</v>
      </c>
      <c r="K62" s="27"/>
      <c r="L62" s="64" t="s">
        <v>161</v>
      </c>
      <c r="M62" s="27"/>
      <c r="N62" s="27"/>
      <c r="O62" s="27"/>
      <c r="P62" s="62">
        <v>1396640</v>
      </c>
      <c r="Q62" s="66">
        <v>46152</v>
      </c>
      <c r="R62" s="27"/>
      <c r="S62" s="27"/>
      <c r="T62" s="27"/>
      <c r="U62" s="27"/>
      <c r="V62" s="27"/>
      <c r="W62" s="25" t="s">
        <v>49</v>
      </c>
    </row>
    <row r="63" spans="1:23" ht="15" x14ac:dyDescent="0.3">
      <c r="A63" s="26">
        <v>62</v>
      </c>
      <c r="B63" s="25"/>
      <c r="C63" s="39"/>
      <c r="D63" s="56" t="s">
        <v>44</v>
      </c>
      <c r="E63" s="57" t="s">
        <v>45</v>
      </c>
      <c r="F63" s="25"/>
      <c r="G63" s="25"/>
      <c r="H63" s="28"/>
      <c r="I63" s="60" t="s">
        <v>102</v>
      </c>
      <c r="J63" s="60" t="s">
        <v>180</v>
      </c>
      <c r="K63" s="27"/>
      <c r="L63" s="64" t="s">
        <v>163</v>
      </c>
      <c r="M63" s="27"/>
      <c r="N63" s="27"/>
      <c r="O63" s="27"/>
      <c r="P63" s="62">
        <v>2180220</v>
      </c>
      <c r="Q63" s="66">
        <v>46152</v>
      </c>
      <c r="R63" s="27"/>
      <c r="S63" s="27"/>
      <c r="T63" s="27"/>
      <c r="U63" s="27"/>
      <c r="V63" s="27"/>
      <c r="W63" s="25" t="s">
        <v>49</v>
      </c>
    </row>
    <row r="64" spans="1:23" ht="15" x14ac:dyDescent="0.3">
      <c r="A64" s="26">
        <v>63</v>
      </c>
      <c r="B64" s="25"/>
      <c r="C64" s="39"/>
      <c r="D64" s="56" t="s">
        <v>44</v>
      </c>
      <c r="E64" s="57" t="s">
        <v>45</v>
      </c>
      <c r="F64" s="25"/>
      <c r="G64" s="25"/>
      <c r="H64" s="28"/>
      <c r="I64" s="60" t="s">
        <v>181</v>
      </c>
      <c r="J64" s="60" t="s">
        <v>182</v>
      </c>
      <c r="K64" s="27"/>
      <c r="L64" s="64" t="s">
        <v>172</v>
      </c>
      <c r="M64" s="27"/>
      <c r="N64" s="27"/>
      <c r="O64" s="27"/>
      <c r="P64" s="62">
        <v>194400</v>
      </c>
      <c r="Q64" s="66">
        <v>46152</v>
      </c>
      <c r="R64" s="27"/>
      <c r="S64" s="27"/>
      <c r="T64" s="27"/>
      <c r="U64" s="27"/>
      <c r="V64" s="27"/>
      <c r="W64" s="25" t="s">
        <v>49</v>
      </c>
    </row>
    <row r="65" spans="1:23" ht="15" x14ac:dyDescent="0.3">
      <c r="A65" s="26">
        <v>64</v>
      </c>
      <c r="B65" s="25"/>
      <c r="C65" s="39"/>
      <c r="D65" s="33" t="s">
        <v>44</v>
      </c>
      <c r="E65" s="34" t="s">
        <v>45</v>
      </c>
      <c r="F65" s="25"/>
      <c r="G65" s="25"/>
      <c r="H65" s="28"/>
      <c r="I65" s="60" t="s">
        <v>106</v>
      </c>
      <c r="J65" s="60" t="s">
        <v>183</v>
      </c>
      <c r="K65" s="27"/>
      <c r="L65" s="63" t="s">
        <v>170</v>
      </c>
      <c r="M65" s="27"/>
      <c r="N65" s="27"/>
      <c r="O65" s="27"/>
      <c r="P65" s="41">
        <v>6960</v>
      </c>
      <c r="Q65" s="69">
        <v>46275</v>
      </c>
      <c r="R65" s="27"/>
      <c r="S65" s="27"/>
      <c r="T65" s="27"/>
      <c r="U65" s="27"/>
      <c r="V65" s="27"/>
      <c r="W65" s="25" t="s">
        <v>184</v>
      </c>
    </row>
    <row r="66" spans="1:23" ht="15" x14ac:dyDescent="0.3">
      <c r="A66" s="26">
        <v>65</v>
      </c>
      <c r="B66" s="25"/>
      <c r="C66" s="39"/>
      <c r="D66" s="56" t="s">
        <v>44</v>
      </c>
      <c r="E66" s="57" t="s">
        <v>45</v>
      </c>
      <c r="F66" s="25"/>
      <c r="G66" s="25"/>
      <c r="H66" s="28"/>
      <c r="I66" s="60" t="s">
        <v>185</v>
      </c>
      <c r="J66" s="60" t="s">
        <v>186</v>
      </c>
      <c r="K66" s="27"/>
      <c r="L66" s="64" t="s">
        <v>187</v>
      </c>
      <c r="M66" s="27"/>
      <c r="N66" s="27"/>
      <c r="O66" s="27"/>
      <c r="P66" s="62">
        <v>28917</v>
      </c>
      <c r="Q66" s="66">
        <v>46336</v>
      </c>
      <c r="R66" s="27"/>
      <c r="S66" s="27"/>
      <c r="T66" s="27"/>
      <c r="U66" s="27"/>
      <c r="V66" s="27"/>
      <c r="W66" s="25" t="s">
        <v>184</v>
      </c>
    </row>
    <row r="67" spans="1:23" ht="15" x14ac:dyDescent="0.3">
      <c r="A67" s="26">
        <v>66</v>
      </c>
      <c r="B67" s="25"/>
      <c r="C67" s="39"/>
      <c r="D67" s="56" t="s">
        <v>44</v>
      </c>
      <c r="E67" s="57" t="s">
        <v>45</v>
      </c>
      <c r="F67" s="25"/>
      <c r="G67" s="25"/>
      <c r="H67" s="28"/>
      <c r="I67" s="60" t="s">
        <v>185</v>
      </c>
      <c r="J67" s="60" t="s">
        <v>122</v>
      </c>
      <c r="K67" s="27"/>
      <c r="L67" s="64" t="s">
        <v>188</v>
      </c>
      <c r="M67" s="27"/>
      <c r="N67" s="27"/>
      <c r="O67" s="27"/>
      <c r="P67" s="62">
        <v>2678</v>
      </c>
      <c r="Q67" s="67" t="s">
        <v>189</v>
      </c>
      <c r="R67" s="27"/>
      <c r="S67" s="27"/>
      <c r="T67" s="27"/>
      <c r="U67" s="27"/>
      <c r="V67" s="27"/>
      <c r="W67" s="25" t="s">
        <v>190</v>
      </c>
    </row>
    <row r="68" spans="1:23" ht="15" x14ac:dyDescent="0.3">
      <c r="A68" s="26">
        <v>67</v>
      </c>
      <c r="B68" s="35"/>
      <c r="C68" s="40"/>
      <c r="D68" s="56" t="s">
        <v>44</v>
      </c>
      <c r="E68" s="57" t="s">
        <v>45</v>
      </c>
      <c r="F68" s="35"/>
      <c r="G68" s="35"/>
      <c r="H68" s="49"/>
      <c r="I68" s="61" t="s">
        <v>185</v>
      </c>
      <c r="J68" s="61" t="s">
        <v>191</v>
      </c>
      <c r="K68" s="36"/>
      <c r="L68" s="64" t="s">
        <v>192</v>
      </c>
      <c r="M68" s="36"/>
      <c r="N68" s="36"/>
      <c r="O68" s="36"/>
      <c r="P68" s="62">
        <v>25200</v>
      </c>
      <c r="Q68" s="67" t="s">
        <v>193</v>
      </c>
      <c r="R68" s="36"/>
      <c r="S68" s="36"/>
      <c r="T68" s="36"/>
      <c r="U68" s="36"/>
      <c r="V68" s="36"/>
      <c r="W68" s="25" t="s">
        <v>190</v>
      </c>
    </row>
    <row r="69" spans="1:23" ht="15" x14ac:dyDescent="0.3">
      <c r="A69" s="26">
        <v>68</v>
      </c>
      <c r="B69" s="35"/>
      <c r="C69" s="40"/>
      <c r="D69" s="56" t="s">
        <v>44</v>
      </c>
      <c r="E69" s="57" t="s">
        <v>45</v>
      </c>
      <c r="F69" s="35"/>
      <c r="G69" s="35"/>
      <c r="H69" s="49"/>
      <c r="I69" s="61" t="s">
        <v>121</v>
      </c>
      <c r="J69" s="61" t="s">
        <v>194</v>
      </c>
      <c r="K69" s="36"/>
      <c r="L69" s="33" t="s">
        <v>195</v>
      </c>
      <c r="M69" s="36"/>
      <c r="N69" s="36"/>
      <c r="O69" s="36"/>
      <c r="P69" s="76">
        <v>4720</v>
      </c>
      <c r="Q69" s="67" t="s">
        <v>196</v>
      </c>
      <c r="R69" s="36"/>
      <c r="S69" s="36"/>
      <c r="T69" s="36"/>
      <c r="U69" s="36"/>
      <c r="V69" s="36"/>
      <c r="W69" s="25" t="s">
        <v>190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C8D0-2E3D-4EB3-9714-64E4EED2E975}">
  <dimension ref="A1:C2"/>
  <sheetViews>
    <sheetView workbookViewId="0">
      <selection activeCell="C19" sqref="C19"/>
    </sheetView>
  </sheetViews>
  <sheetFormatPr defaultRowHeight="14.4" x14ac:dyDescent="0.25"/>
  <cols>
    <col min="1" max="1" width="12.109375" bestFit="1" customWidth="1"/>
    <col min="2" max="2" width="11.109375" bestFit="1" customWidth="1"/>
    <col min="3" max="3" width="12.77734375" bestFit="1" customWidth="1"/>
  </cols>
  <sheetData>
    <row r="1" spans="1:3" x14ac:dyDescent="0.25">
      <c r="A1" t="s">
        <v>197</v>
      </c>
      <c r="B1" t="s">
        <v>198</v>
      </c>
      <c r="C1" t="s">
        <v>199</v>
      </c>
    </row>
    <row r="2" spans="1:3" x14ac:dyDescent="0.25">
      <c r="A2">
        <v>0</v>
      </c>
      <c r="B2">
        <v>0</v>
      </c>
      <c r="C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4A28-A684-4AD3-8FE1-A3F719D9D454}">
  <dimension ref="A1:W3"/>
  <sheetViews>
    <sheetView workbookViewId="0">
      <selection activeCell="E14" sqref="E14"/>
    </sheetView>
  </sheetViews>
  <sheetFormatPr defaultRowHeight="14.4" x14ac:dyDescent="0.25"/>
  <cols>
    <col min="1" max="1" width="8" bestFit="1" customWidth="1"/>
    <col min="2" max="2" width="12.21875" bestFit="1" customWidth="1"/>
    <col min="3" max="3" width="13" bestFit="1" customWidth="1"/>
    <col min="4" max="4" width="11.88671875" bestFit="1" customWidth="1"/>
    <col min="5" max="5" width="13.33203125" bestFit="1" customWidth="1"/>
    <col min="6" max="6" width="11.21875" bestFit="1" customWidth="1"/>
    <col min="7" max="7" width="12.77734375" bestFit="1" customWidth="1"/>
    <col min="8" max="8" width="12.88671875" bestFit="1" customWidth="1"/>
    <col min="9" max="9" width="23.109375" bestFit="1" customWidth="1"/>
    <col min="10" max="10" width="36.88671875" bestFit="1" customWidth="1"/>
    <col min="11" max="11" width="12.44140625" bestFit="1" customWidth="1"/>
    <col min="12" max="13" width="11.44140625" bestFit="1" customWidth="1"/>
    <col min="14" max="14" width="12.88671875" bestFit="1" customWidth="1"/>
    <col min="15" max="15" width="13.109375" bestFit="1" customWidth="1"/>
    <col min="16" max="16" width="14.6640625" bestFit="1" customWidth="1"/>
    <col min="17" max="17" width="13.88671875" bestFit="1" customWidth="1"/>
    <col min="18" max="18" width="13.21875" bestFit="1" customWidth="1"/>
    <col min="19" max="19" width="12.21875" bestFit="1" customWidth="1"/>
    <col min="20" max="20" width="10.21875" bestFit="1" customWidth="1"/>
    <col min="21" max="21" width="11.21875" bestFit="1" customWidth="1"/>
    <col min="22" max="22" width="12.77734375" bestFit="1" customWidth="1"/>
    <col min="23" max="23" width="18.33203125" bestFit="1" customWidth="1"/>
  </cols>
  <sheetData>
    <row r="1" spans="1:23" ht="57.6" x14ac:dyDescent="0.25">
      <c r="A1" s="19" t="s">
        <v>200</v>
      </c>
      <c r="B1" s="20" t="s">
        <v>22</v>
      </c>
      <c r="C1" s="20" t="s">
        <v>23</v>
      </c>
      <c r="D1" s="20" t="s">
        <v>201</v>
      </c>
      <c r="E1" s="20" t="s">
        <v>202</v>
      </c>
      <c r="F1" s="20" t="s">
        <v>26</v>
      </c>
      <c r="G1" s="20" t="s">
        <v>27</v>
      </c>
      <c r="H1" s="20" t="s">
        <v>28</v>
      </c>
      <c r="I1" s="20" t="s">
        <v>203</v>
      </c>
      <c r="J1" s="20" t="s">
        <v>30</v>
      </c>
      <c r="K1" s="20" t="s">
        <v>31</v>
      </c>
      <c r="L1" s="20" t="s">
        <v>32</v>
      </c>
      <c r="M1" s="21" t="s">
        <v>33</v>
      </c>
      <c r="N1" s="20" t="s">
        <v>34</v>
      </c>
      <c r="O1" s="20" t="s">
        <v>35</v>
      </c>
      <c r="P1" s="20" t="s">
        <v>204</v>
      </c>
      <c r="Q1" s="20" t="s">
        <v>37</v>
      </c>
      <c r="R1" s="20" t="s">
        <v>38</v>
      </c>
      <c r="S1" s="20" t="s">
        <v>39</v>
      </c>
      <c r="T1" s="20" t="s">
        <v>40</v>
      </c>
      <c r="U1" s="20" t="s">
        <v>41</v>
      </c>
      <c r="V1" s="20" t="s">
        <v>42</v>
      </c>
      <c r="W1" s="22" t="s">
        <v>205</v>
      </c>
    </row>
    <row r="2" spans="1:23" ht="15" x14ac:dyDescent="0.3">
      <c r="A2" s="16"/>
      <c r="B2" s="17"/>
      <c r="C2" s="17"/>
      <c r="D2" s="15"/>
      <c r="E2" s="17"/>
      <c r="F2" s="17"/>
      <c r="G2" s="17"/>
      <c r="H2" s="17"/>
      <c r="I2" s="33"/>
      <c r="J2" s="34"/>
      <c r="K2" s="18"/>
      <c r="L2" s="18"/>
      <c r="M2" s="18"/>
      <c r="N2" s="18"/>
      <c r="O2" s="18"/>
      <c r="P2" s="41"/>
      <c r="Q2" s="50"/>
      <c r="R2" s="17"/>
      <c r="S2" s="23"/>
      <c r="T2" s="23"/>
      <c r="U2" s="17"/>
      <c r="V2" s="17"/>
      <c r="W2" s="24"/>
    </row>
    <row r="3" spans="1:23" ht="15" x14ac:dyDescent="0.3">
      <c r="A3" s="42"/>
      <c r="B3" s="43"/>
      <c r="C3" s="43"/>
      <c r="D3" s="48"/>
      <c r="E3" s="43"/>
      <c r="F3" s="43"/>
      <c r="G3" s="43"/>
      <c r="H3" s="43"/>
      <c r="I3" s="33"/>
      <c r="J3" s="33"/>
      <c r="K3" s="45"/>
      <c r="L3" s="45"/>
      <c r="M3" s="45"/>
      <c r="N3" s="38"/>
      <c r="O3" s="45"/>
      <c r="P3" s="46"/>
      <c r="Q3" s="47"/>
      <c r="R3" s="43"/>
      <c r="S3" s="44"/>
      <c r="T3" s="44"/>
      <c r="U3" s="43"/>
      <c r="V3" s="43"/>
      <c r="W3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Funds_Position</vt:lpstr>
      <vt:lpstr>Payables</vt:lpstr>
      <vt:lpstr>Borrowinig</vt:lpstr>
      <vt:lpstr>Receivables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Scalene Advisors LLP</dc:creator>
  <cp:keywords/>
  <dc:description/>
  <cp:lastModifiedBy>TECH TEAM - GENVICURE</cp:lastModifiedBy>
  <cp:revision/>
  <dcterms:created xsi:type="dcterms:W3CDTF">2025-06-17T09:13:00Z</dcterms:created>
  <dcterms:modified xsi:type="dcterms:W3CDTF">2026-10-01T12:25:35Z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11E7E44ACE6B42A5AAA8D1FF384B2961_12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